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1.はじめに" sheetId="3" state="visible" r:id="rId3"/>
    <sheet xmlns:r="http://schemas.openxmlformats.org/officeDocument/2006/relationships" name="2.移行方式概要" sheetId="4" state="visible" r:id="rId4"/>
    <sheet xmlns:r="http://schemas.openxmlformats.org/officeDocument/2006/relationships" name="3.事前準備" sheetId="5" state="visible" r:id="rId5"/>
    <sheet xmlns:r="http://schemas.openxmlformats.org/officeDocument/2006/relationships" name="4.初期全量移行" sheetId="6" state="visible" r:id="rId6"/>
    <sheet xmlns:r="http://schemas.openxmlformats.org/officeDocument/2006/relationships" name="5.差分移行・切替" sheetId="7" state="visible" r:id="rId7"/>
    <sheet xmlns:r="http://schemas.openxmlformats.org/officeDocument/2006/relationships" name="6.移行後検証" sheetId="8" state="visible" r:id="rId8"/>
    <sheet xmlns:r="http://schemas.openxmlformats.org/officeDocument/2006/relationships" name="7.リスクと対策" sheetId="9" state="visible" r:id="rId9"/>
    <sheet xmlns:r="http://schemas.openxmlformats.org/officeDocument/2006/relationships" name="8.留意事項" sheetId="10" state="visible" r:id="rId10"/>
    <sheet xmlns:r="http://schemas.openxmlformats.org/officeDocument/2006/relationships" name="9.後片付け" sheetId="11" state="visible" r:id="rId11"/>
    <sheet xmlns:r="http://schemas.openxmlformats.org/officeDocument/2006/relationships" name="10.課題" sheetId="12" state="visible" r:id="rId12"/>
    <sheet xmlns:r="http://schemas.openxmlformats.org/officeDocument/2006/relationships" name="11.変更履歴" sheetId="13" state="visible" r:id="rId13"/>
    <sheet xmlns:r="http://schemas.openxmlformats.org/officeDocument/2006/relationships" name="付録A.コマンド例" sheetId="14" state="visible" r:id="rId14"/>
    <sheet xmlns:r="http://schemas.openxmlformats.org/officeDocument/2006/relationships" name="付録B.差分方式判定表" sheetId="15" state="visible" r:id="rId15"/>
    <sheet xmlns:r="http://schemas.openxmlformats.org/officeDocument/2006/relationships" name="付録C.チェックリスト" sheetId="16" state="visible" r:id="rId16"/>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ＭＳ Ｐゴシック"/>
      <b val="1"/>
      <color rgb="00000000"/>
      <sz val="22"/>
    </font>
    <font>
      <name val="ＭＳ Ｐゴシック"/>
      <b val="1"/>
      <color rgb="00000000"/>
      <sz val="26"/>
    </font>
    <font>
      <name val="ＭＳ Ｐゴシック"/>
      <color rgb="00000000"/>
      <sz val="12"/>
    </font>
    <font>
      <name val="ＭＳ Ｐゴシック"/>
      <b val="1"/>
      <color rgb="00000000"/>
      <sz val="11"/>
    </font>
    <font>
      <name val="ＭＳ Ｐゴシック"/>
      <color rgb="00000000"/>
      <sz val="11"/>
    </font>
    <font>
      <name val="ＭＳ Ｐゴシック"/>
      <color rgb="00000000"/>
      <sz val="10"/>
    </font>
    <font>
      <name val="ＭＳ Ｐゴシック"/>
      <b val="1"/>
      <color rgb="00000000"/>
      <sz val="10"/>
    </font>
    <font>
      <name val="ＭＳ Ｐゴシック"/>
      <b val="1"/>
      <color rgb="00000000"/>
      <sz val="14"/>
    </font>
    <font>
      <name val="ＭＳ Ｐゴシック"/>
      <b val="1"/>
      <color rgb="00000000"/>
      <sz val="12"/>
    </font>
    <font>
      <name val="ＭＳ Ｐゴシック"/>
      <color rgb="00000000"/>
      <sz val="9"/>
    </font>
    <font>
      <name val="ＭＳ Ｐゴシック"/>
      <b val="1"/>
      <color rgb="00000000"/>
      <sz val="9"/>
    </font>
    <font>
      <name val="ＭＳ ゴシック"/>
      <color rgb="00000000"/>
      <sz val="9"/>
    </font>
    <font>
      <name val="ＭＳ Ｐゴシック"/>
      <b val="1"/>
      <sz val="9"/>
    </font>
    <font>
      <name val="ＭＳ Ｐゴシック"/>
      <sz val="9"/>
    </font>
    <font>
      <name val="ＭＳ Ｐゴシック"/>
      <b val="1"/>
      <sz val="16"/>
    </font>
    <font>
      <name val="ＭＳ Ｐゴシック"/>
      <b val="1"/>
      <color rgb="001F3864"/>
      <sz val="11"/>
    </font>
    <font>
      <name val="ＭＳ Ｐゴシック"/>
      <color rgb="00808080"/>
      <sz val="9"/>
    </font>
    <font>
      <name val="ＭＳ Ｐゴシック"/>
      <color rgb="001F3864"/>
      <sz val="10"/>
    </font>
    <font>
      <name val="ＭＳ Ｐゴシック"/>
      <color rgb="001F3864"/>
      <sz val="9"/>
    </font>
  </fonts>
  <fills count="5">
    <fill>
      <patternFill/>
    </fill>
    <fill>
      <patternFill patternType="gray125"/>
    </fill>
    <fill>
      <patternFill patternType="solid">
        <fgColor rgb="00D9D9D9"/>
      </patternFill>
    </fill>
    <fill>
      <patternFill patternType="solid">
        <fgColor rgb="00DCE6F1"/>
      </patternFill>
    </fill>
    <fill>
      <patternFill patternType="solid">
        <fgColor rgb="00FFFF99"/>
      </patternFill>
    </fill>
  </fills>
  <borders count="8">
    <border>
      <left/>
      <right/>
      <top/>
      <bottom/>
      <diagonal/>
    </border>
    <border>
      <left style="thin">
        <color rgb="00000000"/>
      </left>
      <right style="thin">
        <color rgb="00000000"/>
      </right>
      <top style="thin">
        <color rgb="00000000"/>
      </top>
      <bottom style="thin">
        <color rgb="00000000"/>
      </bottom>
    </border>
    <border>
      <bottom style="medium">
        <color rgb="00000000"/>
      </bottom>
    </border>
    <border>
      <left/>
      <right/>
      <top/>
      <bottom style="medium">
        <color rgb="00000000"/>
      </bottom>
      <diagonal/>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4"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2" borderId="1" applyAlignment="1" pivotButton="0" quotePrefix="0" xfId="0">
      <alignment horizontal="center" vertical="center" wrapText="1"/>
    </xf>
    <xf numFmtId="0" fontId="0" fillId="2" borderId="1" pivotButton="0" quotePrefix="0" xfId="0"/>
    <xf numFmtId="0" fontId="6" fillId="0" borderId="1" applyAlignment="1" pivotButton="0" quotePrefix="0" xfId="0">
      <alignment horizontal="left" vertical="top" wrapText="1"/>
    </xf>
    <xf numFmtId="0" fontId="0" fillId="0" borderId="1" pivotButton="0" quotePrefix="0" xfId="0"/>
    <xf numFmtId="0" fontId="15" fillId="0" borderId="0" applyAlignment="1" pivotButton="0" quotePrefix="0" xfId="0">
      <alignment horizontal="left" vertical="top"/>
    </xf>
    <xf numFmtId="0" fontId="14" fillId="0" borderId="0" pivotButton="0" quotePrefix="0" xfId="0"/>
    <xf numFmtId="0" fontId="16" fillId="0" borderId="0" applyAlignment="1" pivotButton="0" quotePrefix="0" xfId="0">
      <alignment horizontal="left" vertical="top"/>
    </xf>
    <xf numFmtId="0" fontId="17" fillId="0" borderId="0" pivotButton="0" quotePrefix="0" xfId="0"/>
    <xf numFmtId="0" fontId="18" fillId="0" borderId="0" applyAlignment="1" pivotButton="0" quotePrefix="0" xfId="0">
      <alignment horizontal="left" vertical="top"/>
    </xf>
    <xf numFmtId="0" fontId="19" fillId="0" borderId="0" applyAlignment="1" pivotButton="0" quotePrefix="0" xfId="0">
      <alignment horizontal="left" vertical="top"/>
    </xf>
    <xf numFmtId="0" fontId="8" fillId="3" borderId="0" applyAlignment="1" pivotButton="0" quotePrefix="0" xfId="0">
      <alignment horizontal="left" vertical="center" wrapText="1"/>
    </xf>
    <xf numFmtId="0" fontId="9" fillId="0" borderId="2" applyAlignment="1" pivotButton="0" quotePrefix="0" xfId="0">
      <alignment horizontal="left" vertical="center" wrapText="1"/>
    </xf>
    <xf numFmtId="0" fontId="0" fillId="0" borderId="3" pivotButton="0" quotePrefix="0" xfId="0"/>
    <xf numFmtId="0" fontId="7" fillId="0" borderId="0" applyAlignment="1" pivotButton="0" quotePrefix="0" xfId="0">
      <alignment horizontal="left" vertical="center"/>
    </xf>
    <xf numFmtId="0" fontId="0" fillId="0" borderId="6" pivotButton="0" quotePrefix="0" xfId="0"/>
    <xf numFmtId="0" fontId="0" fillId="0" borderId="7" pivotButton="0" quotePrefix="0" xfId="0"/>
    <xf numFmtId="0" fontId="6" fillId="0" borderId="1" applyAlignment="1" pivotButton="0" quotePrefix="0" xfId="0">
      <alignment horizontal="center" vertical="top" wrapText="1"/>
    </xf>
    <xf numFmtId="0" fontId="10" fillId="0" borderId="0" applyAlignment="1" pivotButton="0" quotePrefix="0" xfId="0">
      <alignment horizontal="left" vertical="top" wrapText="1"/>
    </xf>
    <xf numFmtId="0" fontId="11" fillId="2" borderId="1" applyAlignment="1" pivotButton="0" quotePrefix="0" xfId="0">
      <alignment horizontal="center" vertical="center" wrapText="1"/>
    </xf>
    <xf numFmtId="0"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12" fillId="0" borderId="1" applyAlignment="1" pivotButton="0" quotePrefix="0" xfId="0">
      <alignment horizontal="left" vertical="top" wrapText="1"/>
    </xf>
    <xf numFmtId="0" fontId="13" fillId="2" borderId="1" applyAlignment="1" pivotButton="0" quotePrefix="0" xfId="0">
      <alignment horizontal="center" vertical="center" wrapText="1"/>
    </xf>
    <xf numFmtId="0" fontId="14" fillId="4" borderId="1" applyAlignment="1" pivotButton="0" quotePrefix="0" xfId="0">
      <alignment horizontal="center" vertical="top" wrapText="1"/>
    </xf>
    <xf numFmtId="0" fontId="14" fillId="4" borderId="1" applyAlignment="1" pivotButton="0" quotePrefix="0" xfId="0">
      <alignment horizontal="left" vertical="top" wrapText="1"/>
    </xf>
    <xf numFmtId="3" fontId="14" fillId="4" borderId="1" applyAlignment="1" pivotButton="0" quotePrefix="0" xfId="0">
      <alignment horizontal="left" vertical="top" wrapText="1"/>
    </xf>
    <xf numFmtId="164" fontId="14" fillId="4" borderId="1" applyAlignment="1" pivotButton="0" quotePrefix="0" xfId="0">
      <alignment horizontal="left" vertical="top" wrapText="1"/>
    </xf>
    <xf numFmtId="0" fontId="14" fillId="4" borderId="1" pivotButton="0" quotePrefix="0" xfId="0"/>
    <xf numFmtId="0" fontId="13" fillId="2" borderId="1" pivotButton="0" quotePrefix="0" xfId="0"/>
    <xf numFmtId="3" fontId="13" fillId="2" borderId="1" pivotButton="0" quotePrefix="0" xfId="0"/>
    <xf numFmtId="164" fontId="13" fillId="2" borderId="1" pivotButton="0" quotePrefix="0" xfId="0"/>
    <xf numFmtId="0" fontId="7" fillId="0" borderId="0" applyAlignment="1" pivotButton="0" quotePrefix="0" xfId="0">
      <alignment horizontal="left" vertical="top" wrapText="1"/>
    </xf>
    <xf numFmtId="0" fontId="14" fillId="0" borderId="1" pivotButton="0" quotePrefix="0" xfId="0"/>
    <xf numFmtId="3" fontId="14" fillId="0" borderId="1" pivotButton="0" quotePrefix="0" xfId="0"/>
    <xf numFmtId="164" fontId="14" fillId="0" borderId="1" pivotButton="0" quotePrefix="0" xfId="0"/>
    <xf numFmtId="3" fontId="14" fillId="4" borderId="1" pivotButton="0" quotePrefix="0" xfId="0"/>
    <xf numFmtId="4" fontId="1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3</col>
      <colOff>0</colOff>
      <row>12</row>
      <rowOff>0</rowOff>
    </from>
    <ext cx="9525000" cy="3533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525000" cy="4019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3:K31"/>
  <sheetViews>
    <sheetView showGridLines="0" zoomScale="90" workbookViewId="0">
      <selection activeCell="A1" sqref="A1"/>
    </sheetView>
  </sheetViews>
  <sheetFormatPr baseColWidth="8" defaultRowHeight="15"/>
  <cols>
    <col width="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3.5" customWidth="1" min="12" max="12"/>
  </cols>
  <sheetData>
    <row r="3" ht="36" customHeight="1">
      <c r="B3" s="1" t="inlineStr">
        <is>
          <t>統合顧客DB システム</t>
        </is>
      </c>
    </row>
    <row r="4" ht="42" customHeight="1">
      <c r="B4" s="2" t="inlineStr">
        <is>
          <t>Oracle 移行計画書</t>
        </is>
      </c>
    </row>
    <row r="5" ht="36" customHeight="1">
      <c r="B5" s="3" t="inlineStr">
        <is>
          <t>（処理用DB 老朽化対応：Oracle Database 11g R2 EE（EC2／RHEL 5.4）→ Amazon RDS for Oracle 19c EE、S3 経由 Data Pump による全量移行＋1 週間後の差分移行）</t>
        </is>
      </c>
    </row>
    <row r="9" ht="18" customHeight="1">
      <c r="C9" s="4" t="inlineStr">
        <is>
          <t>バージョン</t>
        </is>
      </c>
      <c r="E9" s="5" t="inlineStr">
        <is>
          <t>1.0.0（ver1）</t>
        </is>
      </c>
    </row>
    <row r="10" ht="18" customHeight="1">
      <c r="C10" s="4" t="inlineStr">
        <is>
          <t>初版作成日</t>
        </is>
      </c>
      <c r="E10" s="5" t="inlineStr">
        <is>
          <t>2026/09/15</t>
        </is>
      </c>
    </row>
    <row r="11" ht="18" customHeight="1">
      <c r="C11" s="4" t="inlineStr">
        <is>
          <t>最終更新日</t>
        </is>
      </c>
      <c r="E11" s="5" t="inlineStr">
        <is>
          <t>2026/09/15</t>
        </is>
      </c>
    </row>
    <row r="12" ht="30" customHeight="1">
      <c r="C12" s="4" t="inlineStr">
        <is>
          <t>関連文書</t>
        </is>
      </c>
      <c r="E12" s="5" t="inlineStr">
        <is>
          <t>統合顧客DB システム 移行仕様書 ver1（付録A.3 データベース移行を詳細化）、統合顧客DB システム WebLogic→Tomcat 移行設計書 ver1</t>
        </is>
      </c>
    </row>
    <row r="13" ht="18" customHeight="1">
      <c r="C13" s="4" t="inlineStr">
        <is>
          <t>作成</t>
        </is>
      </c>
      <c r="E13" s="5" t="inlineStr">
        <is>
          <t>（作成組織名・担当者名を記入）</t>
        </is>
      </c>
    </row>
    <row r="15">
      <c r="B15" s="6" t="inlineStr">
        <is>
          <t>【本書の読み方】</t>
        </is>
      </c>
    </row>
    <row r="16" ht="44.5" customHeight="1">
      <c r="B16" s="7" t="inlineStr">
        <is>
          <t>・本書は、統合顧客DB システムのデータベース（処理用DB／統合顧客DB）を Oracle 11g R2（EC2）から Amazon RDS for Oracle 19c へ移行するための移行計画書であり、移行仕様書 ver1 付録A.3「データベース移行」を、事前準備・移行手順・差分移行・検証・リスク対策・留意事項・後片付けの観点で詳細化したものである。</t>
        </is>
      </c>
    </row>
    <row r="17" ht="17.5" customHeight="1">
      <c r="B17" s="7" t="inlineStr">
        <is>
          <r>
            <rPr>
              <rFont val="ＭＳ Ｐゴシック"/>
              <color rgb="00000000"/>
              <sz val="10"/>
            </rPr>
            <t>・</t>
          </r>
          <r>
            <rPr>
              <rFont val="ＭＳ Ｐゴシック"/>
              <b val="1"/>
              <color rgb="00FF0000"/>
              <sz val="10"/>
            </rPr>
            <t>【要確認】</t>
          </r>
          <r>
            <rPr>
              <rFont val="ＭＳ Ｐゴシック"/>
              <color rgb="00000000"/>
              <sz val="10"/>
            </rPr>
            <t>（赤字）：今後確定が必要な事項。10 章「課題・要確認事項」に一覧化する。確定後は本文を更新し、赤字を解除する。</t>
          </r>
        </is>
      </c>
    </row>
    <row r="18" ht="17.5" customHeight="1">
      <c r="B18" s="7" t="inlineStr">
        <is>
          <t>・所要時間・容量の数値は目安であり、QA 環境でのリハーサル（本番相当データ）の実測値で確定する。</t>
        </is>
      </c>
    </row>
    <row r="19" ht="31" customHeight="1">
      <c r="B19" s="7" t="inlineStr">
        <is>
          <t>・コマンド・SQL は付録A に例を示す。実行時はバケット名・エンドポイント・スキーマ名・パスワード等を環境定義書の値に置き換える。</t>
        </is>
      </c>
    </row>
    <row r="20" ht="31" customHeight="1">
      <c r="B20" s="7" t="inlineStr">
        <is>
          <t>・本書は開発（dev）→QA（qa）→本番（honban）の各環境に共通に適用する。環境ごとの固有値（識別子・ホスト名等）は表 1-3 の命名規則による。</t>
        </is>
      </c>
    </row>
    <row r="22">
      <c r="B22" s="6" t="inlineStr">
        <is>
          <t>【移行概要】</t>
        </is>
      </c>
    </row>
    <row r="23" ht="17.5" customHeight="1">
      <c r="B23" s="8" t="inlineStr">
        <is>
          <t>項目</t>
        </is>
      </c>
      <c r="C23" s="9" t="n"/>
      <c r="D23" s="8" t="inlineStr">
        <is>
          <t>現行</t>
        </is>
      </c>
      <c r="E23" s="9" t="n"/>
      <c r="F23" s="9" t="n"/>
      <c r="G23" s="9" t="n"/>
      <c r="H23" s="8" t="inlineStr">
        <is>
          <t>移行後</t>
        </is>
      </c>
      <c r="I23" s="9" t="n"/>
      <c r="J23" s="9" t="n"/>
      <c r="K23" s="9" t="n"/>
    </row>
    <row r="24" ht="44.5" customHeight="1">
      <c r="B24" s="10" t="inlineStr">
        <is>
          <t>データベース</t>
        </is>
      </c>
      <c r="C24" s="11" t="n"/>
      <c r="D24" s="10" t="inlineStr">
        <is>
          <t>Oracle Database 11g R2（11.2）Enterprise Edition（EC2 RHEL 5.4 上、1 インスタンス・複数スキーマ）</t>
        </is>
      </c>
      <c r="E24" s="11" t="n"/>
      <c r="F24" s="11" t="n"/>
      <c r="G24" s="11" t="n"/>
      <c r="H24" s="10" t="inlineStr">
        <is>
          <t>Amazon RDS for Oracle 19c Enterprise Edition（BYOL）、1 インスタンス（icdbh01／icdbq01／icdbd01）</t>
        </is>
      </c>
      <c r="I24" s="11" t="n"/>
      <c r="J24" s="11" t="n"/>
      <c r="K24" s="11" t="n"/>
    </row>
    <row r="25" ht="17.5" customHeight="1">
      <c r="B25" s="10" t="inlineStr">
        <is>
          <t>文字コード</t>
        </is>
      </c>
      <c r="C25" s="11" t="n"/>
      <c r="D25" s="10" t="inlineStr">
        <is>
          <t>AL32UTF8</t>
        </is>
      </c>
      <c r="E25" s="11" t="n"/>
      <c r="F25" s="11" t="n"/>
      <c r="G25" s="11" t="n"/>
      <c r="H25" s="10" t="inlineStr">
        <is>
          <t>AL32UTF8（同一・変換なし）</t>
        </is>
      </c>
      <c r="I25" s="11" t="n"/>
      <c r="J25" s="11" t="n"/>
      <c r="K25" s="11" t="n"/>
    </row>
    <row r="26" ht="31" customHeight="1">
      <c r="B26" s="10" t="inlineStr">
        <is>
          <t>データ量</t>
        </is>
      </c>
      <c r="C26" s="11" t="n"/>
      <c r="D26" s="10" t="inlineStr">
        <is>
          <r>
            <rPr>
              <rFont val="ＭＳ Ｐゴシック"/>
              <color rgb="00000000"/>
              <sz val="10"/>
            </rPr>
            <t>約 1.3TB（業務スキーマ合計）</t>
          </r>
          <r>
            <rPr>
              <rFont val="ＭＳ Ｐゴシック"/>
              <b val="1"/>
              <color rgb="00FF0000"/>
              <sz val="10"/>
            </rPr>
            <t>【要確認】</t>
          </r>
          <r>
            <rPr>
              <rFont val="ＭＳ Ｐゴシック"/>
              <color rgb="00000000"/>
              <sz val="10"/>
            </rPr>
            <t>事前調査で実測</t>
          </r>
        </is>
      </c>
      <c r="E26" s="11" t="n"/>
      <c r="F26" s="11" t="n"/>
      <c r="G26" s="11" t="n"/>
      <c r="H26" s="10" t="inlineStr">
        <is>
          <r>
            <rPr>
              <rFont val="ＭＳ Ｐゴシック"/>
              <color rgb="00000000"/>
              <sz val="10"/>
            </rPr>
            <t>RDS ストレージ gp3 約 2,000GB（データ 1.3TB＋Data Pump 一時領域＋余裕）</t>
          </r>
          <r>
            <rPr>
              <rFont val="ＭＳ Ｐゴシック"/>
              <b val="1"/>
              <color rgb="00FF0000"/>
              <sz val="10"/>
            </rPr>
            <t>【要確認】</t>
          </r>
        </is>
      </c>
      <c r="I26" s="11" t="n"/>
      <c r="J26" s="11" t="n"/>
      <c r="K26" s="11" t="n"/>
    </row>
    <row r="27" ht="31" customHeight="1">
      <c r="B27" s="10" t="inlineStr">
        <is>
          <t>移行方式</t>
        </is>
      </c>
      <c r="C27" s="11" t="n"/>
      <c r="D27" s="10" t="inlineStr">
        <is>
          <t>－</t>
        </is>
      </c>
      <c r="E27" s="11" t="n"/>
      <c r="F27" s="11" t="n"/>
      <c r="G27" s="11" t="n"/>
      <c r="H27" s="10" t="inlineStr">
        <is>
          <t>Oracle Data Pump（expdp／impdp）＋ Amazon S3 ＋ RDS S3 統合（rdsadmin_s3_tasks）</t>
        </is>
      </c>
      <c r="I27" s="11" t="n"/>
      <c r="J27" s="11" t="n"/>
      <c r="K27" s="11" t="n"/>
    </row>
    <row r="28" ht="58" customHeight="1">
      <c r="B28" s="10" t="inlineStr">
        <is>
          <t>移行の流れ</t>
        </is>
      </c>
      <c r="C28" s="11" t="n"/>
      <c r="D28" s="10" t="inlineStr">
        <is>
          <t>－</t>
        </is>
      </c>
      <c r="E28" s="11" t="n"/>
      <c r="F28" s="11" t="n"/>
      <c r="G28" s="11" t="n"/>
      <c r="H28" s="10" t="inlineStr">
        <is>
          <t>①初期全量移行（現行稼働中、FLASHBACK_SCN で一貫性確保）→ ②約 1 週間の検証期間（現行は本番稼働継続）→ ③差分移行・本番切替（業務停止 4 時間以内）</t>
        </is>
      </c>
      <c r="I28" s="11" t="n"/>
      <c r="J28" s="11" t="n"/>
      <c r="K28" s="11" t="n"/>
    </row>
    <row r="29" ht="71.5" customHeight="1">
      <c r="B29" s="10" t="inlineStr">
        <is>
          <t>差分移行方式</t>
        </is>
      </c>
      <c r="C29" s="11" t="n"/>
      <c r="D29" s="10" t="inlineStr">
        <is>
          <t>－</t>
        </is>
      </c>
      <c r="E29" s="11" t="n"/>
      <c r="F29" s="11" t="n"/>
      <c r="G29" s="11" t="n"/>
      <c r="H29" s="10" t="inlineStr">
        <is>
          <t>表単位に判定：方式A タイムスタンプ差分（updatedate＋MERGE）／方式B 全量再投入（TRUNCATE＋再投入）／方式C 変更なし確認のみ。updatedate の更新が保証されない表・物理削除のある表・updatedate のない表は方式B</t>
        </is>
      </c>
      <c r="I29" s="11" t="n"/>
      <c r="J29" s="11" t="n"/>
      <c r="K29" s="11" t="n"/>
    </row>
    <row r="30" ht="44.5" customHeight="1">
      <c r="B30" s="10" t="inlineStr">
        <is>
          <t>転送経路</t>
        </is>
      </c>
      <c r="C30" s="11" t="n"/>
      <c r="D30" s="10" t="inlineStr">
        <is>
          <t>－</t>
        </is>
      </c>
      <c r="E30" s="11" t="n"/>
      <c r="F30" s="11" t="n"/>
      <c r="G30" s="11" t="n"/>
      <c r="H30" s="10" t="inlineStr">
        <is>
          <t>現行 EC2（一時 EBS）→ rsync over ssh（VPC Peering）→ 新 AP/API サーバ RHEL 9 → AWS CLI v2 → S3 → RDS DATA_PUMP_DIR（分割取込）</t>
        </is>
      </c>
      <c r="I30" s="11" t="n"/>
      <c r="J30" s="11" t="n"/>
      <c r="K30" s="11" t="n"/>
    </row>
    <row r="31" ht="58" customHeight="1">
      <c r="B31" s="10" t="inlineStr">
        <is>
          <t>接続切替対象</t>
        </is>
      </c>
      <c r="C31" s="11" t="n"/>
      <c r="D31" s="10" t="inlineStr">
        <is>
          <t>WebLogic JDBC データソース、ASTERIA WARP 4.5.1、シェル／バッチ、Data Loader</t>
        </is>
      </c>
      <c r="E31" s="11" t="n"/>
      <c r="F31" s="11" t="n"/>
      <c r="G31" s="11" t="n"/>
      <c r="H31" s="10" t="inlineStr">
        <is>
          <t>Tomcat JNDI DataSource（context.xml）／ASTERIA Warp 2406 接続定義／シェル・バッチ（sqlplus・SQL*Loader）・JP1 ジョブ／Salesforce Data Loader</t>
        </is>
      </c>
      <c r="I31" s="11" t="n"/>
      <c r="J31" s="11" t="n"/>
      <c r="K31" s="11" t="n"/>
    </row>
  </sheetData>
  <mergeCells count="47">
    <mergeCell ref="H28:K28"/>
    <mergeCell ref="B25:C25"/>
    <mergeCell ref="H27:K27"/>
    <mergeCell ref="D25:G25"/>
    <mergeCell ref="D24:G24"/>
    <mergeCell ref="B15:K15"/>
    <mergeCell ref="D30:G30"/>
    <mergeCell ref="H24:K24"/>
    <mergeCell ref="D29:G29"/>
    <mergeCell ref="B20:K20"/>
    <mergeCell ref="B27:C27"/>
    <mergeCell ref="B31:C31"/>
    <mergeCell ref="B5:K5"/>
    <mergeCell ref="H23:K23"/>
    <mergeCell ref="D23:G23"/>
    <mergeCell ref="D26:G26"/>
    <mergeCell ref="C10:D10"/>
    <mergeCell ref="B4:K4"/>
    <mergeCell ref="H30:K30"/>
    <mergeCell ref="H26:K26"/>
    <mergeCell ref="E12:K12"/>
    <mergeCell ref="B23:C23"/>
    <mergeCell ref="H29:K29"/>
    <mergeCell ref="B16:K16"/>
    <mergeCell ref="C9:D9"/>
    <mergeCell ref="B3:K3"/>
    <mergeCell ref="C12:D12"/>
    <mergeCell ref="D31:G31"/>
    <mergeCell ref="B22:K22"/>
    <mergeCell ref="B29:C29"/>
    <mergeCell ref="H31:K31"/>
    <mergeCell ref="C11:D11"/>
    <mergeCell ref="B18:K18"/>
    <mergeCell ref="H25:K25"/>
    <mergeCell ref="B28:C28"/>
    <mergeCell ref="E10:K10"/>
    <mergeCell ref="D27:G27"/>
    <mergeCell ref="D28:G28"/>
    <mergeCell ref="E13:K13"/>
    <mergeCell ref="B24:C24"/>
    <mergeCell ref="B30:C30"/>
    <mergeCell ref="E9:K9"/>
    <mergeCell ref="B17:K17"/>
    <mergeCell ref="C13:D13"/>
    <mergeCell ref="B26:C26"/>
    <mergeCell ref="E11:K11"/>
    <mergeCell ref="B19:K19"/>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B1:M74"/>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2" t="inlineStr">
        <is>
          <t>目次</t>
        </is>
      </c>
    </row>
    <row r="2">
      <c r="B2" s="13" t="inlineStr">
        <is>
          <t>※各行のリンクから該当シート・項へ移動できる。赤字の【要確認】事項は 10 章に集約している。</t>
        </is>
      </c>
    </row>
    <row r="4" ht="17" customHeight="1">
      <c r="B4" s="14" t="inlineStr">
        <is>
          <t>1. はじめに</t>
        </is>
      </c>
      <c r="L4" s="15" t="inlineStr">
        <is>
          <t>1.はじめに</t>
        </is>
      </c>
    </row>
    <row r="5" ht="15" customHeight="1">
      <c r="C5" s="16" t="inlineStr">
        <is>
          <t>1.1. 本文書の目的</t>
        </is>
      </c>
      <c r="L5" s="15" t="inlineStr">
        <is>
          <t>1.はじめに</t>
        </is>
      </c>
    </row>
    <row r="6" ht="15" customHeight="1">
      <c r="C6" s="16" t="inlineStr">
        <is>
          <t>1.2. 適用範囲</t>
        </is>
      </c>
      <c r="L6" s="15" t="inlineStr">
        <is>
          <t>1.はじめに</t>
        </is>
      </c>
    </row>
    <row r="7" ht="15" customHeight="1">
      <c r="C7" s="16" t="inlineStr">
        <is>
          <t>1.3. 前提条件（確認済み事項）</t>
        </is>
      </c>
      <c r="L7" s="15" t="inlineStr">
        <is>
          <t>1.はじめに</t>
        </is>
      </c>
    </row>
    <row r="8" ht="15" customHeight="1">
      <c r="C8" s="16" t="inlineStr">
        <is>
          <t>1.4. 関連文書</t>
        </is>
      </c>
      <c r="L8" s="15" t="inlineStr">
        <is>
          <t>1.はじめに</t>
        </is>
      </c>
    </row>
    <row r="9" ht="15" customHeight="1">
      <c r="C9" s="16" t="inlineStr">
        <is>
          <t>1.5. 用語</t>
        </is>
      </c>
      <c r="L9" s="15" t="inlineStr">
        <is>
          <t>1.はじめに</t>
        </is>
      </c>
    </row>
    <row r="10" ht="17" customHeight="1">
      <c r="B10" s="14" t="inlineStr">
        <is>
          <t>2. 移行方式概要</t>
        </is>
      </c>
      <c r="L10" s="15" t="inlineStr">
        <is>
          <t>2.移行方式概要</t>
        </is>
      </c>
    </row>
    <row r="11" ht="15" customHeight="1">
      <c r="C11" s="16" t="inlineStr">
        <is>
          <t>2.1. 移行の全体像</t>
        </is>
      </c>
      <c r="L11" s="15" t="inlineStr">
        <is>
          <t>2.移行方式概要</t>
        </is>
      </c>
    </row>
    <row r="12" ht="15" customHeight="1">
      <c r="C12" s="16" t="inlineStr">
        <is>
          <t>2.2. 移行構成とデータ転送経路</t>
        </is>
      </c>
      <c r="L12" s="15" t="inlineStr">
        <is>
          <t>2.移行方式概要</t>
        </is>
      </c>
    </row>
    <row r="13" ht="15" customHeight="1">
      <c r="C13" s="16" t="inlineStr">
        <is>
          <t>2.3. 差分移行の考え方（方式A／B／C）</t>
        </is>
      </c>
      <c r="L13" s="15" t="inlineStr">
        <is>
          <t>2.移行方式概要</t>
        </is>
      </c>
    </row>
    <row r="14" ht="15" customHeight="1">
      <c r="C14" s="16" t="inlineStr">
        <is>
          <t>2.4. 一貫性の確保（SCN の管理）</t>
        </is>
      </c>
      <c r="L14" s="15" t="inlineStr">
        <is>
          <t>2.移行方式概要</t>
        </is>
      </c>
    </row>
    <row r="15" ht="15" customHeight="1">
      <c r="C15" s="16" t="inlineStr">
        <is>
          <t>2.5. 移行方式の選定理由</t>
        </is>
      </c>
      <c r="L15" s="15" t="inlineStr">
        <is>
          <t>2.移行方式概要</t>
        </is>
      </c>
    </row>
    <row r="16" ht="17" customHeight="1">
      <c r="B16" s="14" t="inlineStr">
        <is>
          <t>3. データ移行前の準備</t>
        </is>
      </c>
      <c r="L16" s="15" t="inlineStr">
        <is>
          <t>3.事前準備</t>
        </is>
      </c>
    </row>
    <row r="17" ht="15" customHeight="1">
      <c r="C17" s="16" t="inlineStr">
        <is>
          <t>3.1. 現行 DB の事前調査</t>
        </is>
      </c>
      <c r="L17" s="15" t="inlineStr">
        <is>
          <t>3.事前準備</t>
        </is>
      </c>
    </row>
    <row r="18" ht="15" customHeight="1">
      <c r="C18" s="16" t="inlineStr">
        <is>
          <t>3.2. AWS 環境構築</t>
        </is>
      </c>
      <c r="L18" s="15" t="inlineStr">
        <is>
          <t>3.事前準備</t>
        </is>
      </c>
    </row>
    <row r="19" ht="15" customHeight="1">
      <c r="D19" s="17" t="inlineStr">
        <is>
          <t>3.2.1. RDS インスタンスの作成</t>
        </is>
      </c>
      <c r="L19" s="15" t="inlineStr">
        <is>
          <t>3.事前準備</t>
        </is>
      </c>
    </row>
    <row r="20" ht="15" customHeight="1">
      <c r="D20" s="17" t="inlineStr">
        <is>
          <t>3.2.2. オプショングループ・パラメータグループ</t>
        </is>
      </c>
      <c r="L20" s="15" t="inlineStr">
        <is>
          <t>3.事前準備</t>
        </is>
      </c>
    </row>
    <row r="21" ht="15" customHeight="1">
      <c r="D21" s="17" t="inlineStr">
        <is>
          <t>3.2.3. S3 バケット・IAM</t>
        </is>
      </c>
      <c r="L21" s="15" t="inlineStr">
        <is>
          <t>3.事前準備</t>
        </is>
      </c>
    </row>
    <row r="22" ht="15" customHeight="1">
      <c r="D22" s="17" t="inlineStr">
        <is>
          <t>3.2.4. ネットワーク設定</t>
        </is>
      </c>
      <c r="L22" s="15" t="inlineStr">
        <is>
          <t>3.事前準備</t>
        </is>
      </c>
    </row>
    <row r="23" ht="15" customHeight="1">
      <c r="C23" s="16" t="inlineStr">
        <is>
          <t>3.3. 現行側・新サーバ側の準備</t>
        </is>
      </c>
      <c r="L23" s="15" t="inlineStr">
        <is>
          <t>3.事前準備</t>
        </is>
      </c>
    </row>
    <row r="24" ht="15" customHeight="1">
      <c r="C24" s="16" t="inlineStr">
        <is>
          <t>3.4. 移行スクリプト・パラメータファイルの整備</t>
        </is>
      </c>
      <c r="L24" s="15" t="inlineStr">
        <is>
          <t>3.事前準備</t>
        </is>
      </c>
    </row>
    <row r="25" ht="15" customHeight="1">
      <c r="C25" s="16" t="inlineStr">
        <is>
          <t>3.5. 取込バッチの設計（RDS ストレージ制約への対応）</t>
        </is>
      </c>
      <c r="L25" s="15" t="inlineStr">
        <is>
          <t>3.事前準備</t>
        </is>
      </c>
    </row>
    <row r="26" ht="15" customHeight="1">
      <c r="C26" s="16" t="inlineStr">
        <is>
          <t>3.6. 表分類（差分方式判定）</t>
        </is>
      </c>
      <c r="L26" s="15" t="inlineStr">
        <is>
          <t>3.事前準備</t>
        </is>
      </c>
    </row>
    <row r="27" ht="15" customHeight="1">
      <c r="C27" s="16" t="inlineStr">
        <is>
          <t>3.7. リハーサル（QA 環境）</t>
        </is>
      </c>
      <c r="L27" s="15" t="inlineStr">
        <is>
          <t>3.事前準備</t>
        </is>
      </c>
    </row>
    <row r="28" ht="15" customHeight="1">
      <c r="C28" s="16" t="inlineStr">
        <is>
          <t>3.8. 事前準備 完了チェックリスト</t>
        </is>
      </c>
      <c r="L28" s="15" t="inlineStr">
        <is>
          <t>3.事前準備</t>
        </is>
      </c>
    </row>
    <row r="29" ht="17" customHeight="1">
      <c r="B29" s="14" t="inlineStr">
        <is>
          <t>4. 初期全量移行の手順</t>
        </is>
      </c>
      <c r="L29" s="15" t="inlineStr">
        <is>
          <t>4.初期全量移行</t>
        </is>
      </c>
    </row>
    <row r="30" ht="15" customHeight="1">
      <c r="C30" s="16" t="inlineStr">
        <is>
          <t>4.1. エクスポート（現行 DB サーバ）</t>
        </is>
      </c>
      <c r="L30" s="15" t="inlineStr">
        <is>
          <t>4.初期全量移行</t>
        </is>
      </c>
    </row>
    <row r="31" ht="15" customHeight="1">
      <c r="C31" s="16" t="inlineStr">
        <is>
          <t>4.2. 転送（現行 → 新 AP/API サーバ → S3）</t>
        </is>
      </c>
      <c r="L31" s="15" t="inlineStr">
        <is>
          <t>4.初期全量移行</t>
        </is>
      </c>
    </row>
    <row r="32" ht="15" customHeight="1">
      <c r="C32" s="16" t="inlineStr">
        <is>
          <t>4.3. RDS への取込（分割）</t>
        </is>
      </c>
      <c r="L32" s="15" t="inlineStr">
        <is>
          <t>4.初期全量移行</t>
        </is>
      </c>
    </row>
    <row r="33" ht="15" customHeight="1">
      <c r="C33" s="16" t="inlineStr">
        <is>
          <t>4.4. 事後処理・基点スナップショット</t>
        </is>
      </c>
      <c r="L33" s="15" t="inlineStr">
        <is>
          <t>4.初期全量移行</t>
        </is>
      </c>
    </row>
    <row r="34" ht="15" customHeight="1">
      <c r="C34" s="16" t="inlineStr">
        <is>
          <t>4.5. 初期全量移行 完了判定</t>
        </is>
      </c>
      <c r="L34" s="15" t="inlineStr">
        <is>
          <t>4.初期全量移行</t>
        </is>
      </c>
    </row>
    <row r="35" ht="17" customHeight="1">
      <c r="B35" s="14" t="inlineStr">
        <is>
          <t>5. 差分移行・本番切替の手順</t>
        </is>
      </c>
      <c r="L35" s="15" t="inlineStr">
        <is>
          <t>5.差分移行・切替</t>
        </is>
      </c>
    </row>
    <row r="36" ht="15" customHeight="1">
      <c r="C36" s="16" t="inlineStr">
        <is>
          <t>5.1. 差分方式の判定基準</t>
        </is>
      </c>
      <c r="L36" s="15" t="inlineStr">
        <is>
          <t>5.差分移行・切替</t>
        </is>
      </c>
    </row>
    <row r="37" ht="15" customHeight="1">
      <c r="C37" s="16" t="inlineStr">
        <is>
          <t>5.2. 差分データの識別方法</t>
        </is>
      </c>
      <c r="L37" s="15" t="inlineStr">
        <is>
          <t>5.差分移行・切替</t>
        </is>
      </c>
    </row>
    <row r="38" ht="15" customHeight="1">
      <c r="C38" s="16" t="inlineStr">
        <is>
          <t>5.3. 切替前日までの準備（T−1 日：土曜）</t>
        </is>
      </c>
      <c r="L38" s="15" t="inlineStr">
        <is>
          <t>5.差分移行・切替</t>
        </is>
      </c>
    </row>
    <row r="39" ht="15" customHeight="1">
      <c r="C39" s="16" t="inlineStr">
        <is>
          <t>5.4. 切替当日タイムライン（業務停止 4 時間以内）</t>
        </is>
      </c>
      <c r="L39" s="15" t="inlineStr">
        <is>
          <t>5.差分移行・切替</t>
        </is>
      </c>
    </row>
    <row r="40" ht="15" customHeight="1">
      <c r="C40" s="16" t="inlineStr">
        <is>
          <t>5.5. 業務停止・差分エクスポート（現行）</t>
        </is>
      </c>
      <c r="L40" s="15" t="inlineStr">
        <is>
          <t>5.差分移行・切替</t>
        </is>
      </c>
    </row>
    <row r="41" ht="15" customHeight="1">
      <c r="C41" s="16" t="inlineStr">
        <is>
          <t>5.6. 転送（差分）</t>
        </is>
      </c>
      <c r="L41" s="15" t="inlineStr">
        <is>
          <t>5.差分移行・切替</t>
        </is>
      </c>
    </row>
    <row r="42" ht="15" customHeight="1">
      <c r="C42" s="16" t="inlineStr">
        <is>
          <t>5.7. 取込（RDS）</t>
        </is>
      </c>
      <c r="L42" s="15" t="inlineStr">
        <is>
          <t>5.差分移行・切替</t>
        </is>
      </c>
    </row>
    <row r="43" ht="15" customHeight="1">
      <c r="C43" s="16" t="inlineStr">
        <is>
          <t>5.8. 切替時の検証（短時間版）</t>
        </is>
      </c>
      <c r="L43" s="15" t="inlineStr">
        <is>
          <t>5.差分移行・切替</t>
        </is>
      </c>
    </row>
    <row r="44" ht="15" customHeight="1">
      <c r="C44" s="16" t="inlineStr">
        <is>
          <t>5.9. 接続切替・サービス開始</t>
        </is>
      </c>
      <c r="L44" s="15" t="inlineStr">
        <is>
          <t>5.差分移行・切替</t>
        </is>
      </c>
    </row>
    <row r="45" ht="15" customHeight="1">
      <c r="C45" s="16" t="inlineStr">
        <is>
          <t>5.10. 切戻し手順</t>
        </is>
      </c>
      <c r="L45" s="15" t="inlineStr">
        <is>
          <t>5.差分移行・切替</t>
        </is>
      </c>
    </row>
    <row r="46" ht="17" customHeight="1">
      <c r="B46" s="14" t="inlineStr">
        <is>
          <t>6. 移行後の検証</t>
        </is>
      </c>
      <c r="L46" s="15" t="inlineStr">
        <is>
          <t>6.移行後検証</t>
        </is>
      </c>
    </row>
    <row r="47" ht="15" customHeight="1">
      <c r="C47" s="16" t="inlineStr">
        <is>
          <t>6.1. 検証の全体像</t>
        </is>
      </c>
      <c r="L47" s="15" t="inlineStr">
        <is>
          <t>6.移行後検証</t>
        </is>
      </c>
    </row>
    <row r="48" ht="15" customHeight="1">
      <c r="C48" s="16" t="inlineStr">
        <is>
          <t>6.2. データ完全性チェック</t>
        </is>
      </c>
      <c r="L48" s="15" t="inlineStr">
        <is>
          <t>6.移行後検証</t>
        </is>
      </c>
    </row>
    <row r="49" ht="15" customHeight="1">
      <c r="C49" s="16" t="inlineStr">
        <is>
          <t>6.3. 性能テスト</t>
        </is>
      </c>
      <c r="L49" s="15" t="inlineStr">
        <is>
          <t>6.移行後検証</t>
        </is>
      </c>
    </row>
    <row r="50" ht="15" customHeight="1">
      <c r="C50" s="16" t="inlineStr">
        <is>
          <t>6.4. アプリケーション接続テスト</t>
        </is>
      </c>
      <c r="L50" s="15" t="inlineStr">
        <is>
          <t>6.移行後検証</t>
        </is>
      </c>
    </row>
    <row r="51" ht="15" customHeight="1">
      <c r="C51" s="16" t="inlineStr">
        <is>
          <t>6.5. 運用テスト</t>
        </is>
      </c>
      <c r="L51" s="15" t="inlineStr">
        <is>
          <t>6.移行後検証</t>
        </is>
      </c>
    </row>
    <row r="52" ht="15" customHeight="1">
      <c r="C52" s="16" t="inlineStr">
        <is>
          <t>6.6. 検証結果の記録</t>
        </is>
      </c>
      <c r="L52" s="15" t="inlineStr">
        <is>
          <t>6.移行後検証</t>
        </is>
      </c>
    </row>
    <row r="53" ht="17" customHeight="1">
      <c r="B53" s="14" t="inlineStr">
        <is>
          <t>7. リスクと対応策</t>
        </is>
      </c>
      <c r="L53" s="15" t="inlineStr">
        <is>
          <t>7.リスクと対策</t>
        </is>
      </c>
    </row>
    <row r="54" ht="17" customHeight="1">
      <c r="B54" s="14" t="inlineStr">
        <is>
          <t>8. 移行作業における留意事項</t>
        </is>
      </c>
      <c r="L54" s="15" t="inlineStr">
        <is>
          <t>8.留意事項</t>
        </is>
      </c>
    </row>
    <row r="55" ht="15" customHeight="1">
      <c r="C55" s="16" t="inlineStr">
        <is>
          <t>8.1. データバックアップ</t>
        </is>
      </c>
      <c r="L55" s="15" t="inlineStr">
        <is>
          <t>8.留意事項</t>
        </is>
      </c>
    </row>
    <row r="56" ht="15" customHeight="1">
      <c r="C56" s="16" t="inlineStr">
        <is>
          <t>8.2. 移行時間帯</t>
        </is>
      </c>
      <c r="L56" s="15" t="inlineStr">
        <is>
          <t>8.留意事項</t>
        </is>
      </c>
    </row>
    <row r="57" ht="15" customHeight="1">
      <c r="C57" s="16" t="inlineStr">
        <is>
          <t>8.3. 移行ログ・記録</t>
        </is>
      </c>
      <c r="L57" s="15" t="inlineStr">
        <is>
          <t>8.留意事項</t>
        </is>
      </c>
    </row>
    <row r="58" ht="15" customHeight="1">
      <c r="C58" s="16" t="inlineStr">
        <is>
          <t>8.4. セキュリティ</t>
        </is>
      </c>
      <c r="L58" s="15" t="inlineStr">
        <is>
          <t>8.留意事項</t>
        </is>
      </c>
    </row>
    <row r="59" ht="15" customHeight="1">
      <c r="C59" s="16" t="inlineStr">
        <is>
          <t>8.5. 変更凍結・運用連携</t>
        </is>
      </c>
      <c r="L59" s="15" t="inlineStr">
        <is>
          <t>8.留意事項</t>
        </is>
      </c>
    </row>
    <row r="60" ht="15" customHeight="1">
      <c r="C60" s="16" t="inlineStr">
        <is>
          <t>8.6. 体制・役割</t>
        </is>
      </c>
      <c r="L60" s="15" t="inlineStr">
        <is>
          <t>8.留意事項</t>
        </is>
      </c>
    </row>
    <row r="61" ht="17" customHeight="1">
      <c r="B61" s="14" t="inlineStr">
        <is>
          <t>9. 移行完了後の後片付け</t>
        </is>
      </c>
      <c r="L61" s="15" t="inlineStr">
        <is>
          <t>9.後片付け</t>
        </is>
      </c>
    </row>
    <row r="62" ht="15" customHeight="1">
      <c r="C62" s="16" t="inlineStr">
        <is>
          <t>9.1. 一時資源の削除</t>
        </is>
      </c>
      <c r="L62" s="15" t="inlineStr">
        <is>
          <t>9.後片付け</t>
        </is>
      </c>
    </row>
    <row r="63" ht="15" customHeight="1">
      <c r="C63" s="16" t="inlineStr">
        <is>
          <t>9.2. RDS の監視・運用設定</t>
        </is>
      </c>
      <c r="L63" s="15" t="inlineStr">
        <is>
          <t>9.後片付け</t>
        </is>
      </c>
    </row>
    <row r="64" ht="15" customHeight="1">
      <c r="C64" s="16" t="inlineStr">
        <is>
          <t>9.3. 文書・引継ぎ</t>
        </is>
      </c>
      <c r="L64" s="15" t="inlineStr">
        <is>
          <t>9.後片付け</t>
        </is>
      </c>
    </row>
    <row r="65" ht="17" customHeight="1">
      <c r="B65" s="14" t="inlineStr">
        <is>
          <t>10. 課題・要確認事項</t>
        </is>
      </c>
      <c r="L65" s="15" t="inlineStr">
        <is>
          <t>10.課題</t>
        </is>
      </c>
    </row>
    <row r="66" ht="17" customHeight="1">
      <c r="B66" s="14" t="inlineStr">
        <is>
          <t>11. 変更履歴</t>
        </is>
      </c>
      <c r="L66" s="15" t="inlineStr">
        <is>
          <t>11.変更履歴</t>
        </is>
      </c>
    </row>
    <row r="67" ht="17" customHeight="1">
      <c r="B67" s="14" t="inlineStr">
        <is>
          <t>付録A. コマンド・SQL 例</t>
        </is>
      </c>
      <c r="L67" s="15" t="inlineStr">
        <is>
          <t>付録A.コマンド例</t>
        </is>
      </c>
    </row>
    <row r="68" ht="17" customHeight="1">
      <c r="B68" s="14" t="inlineStr">
        <is>
          <t>付録B. 差分方式判定表（テンプレート）</t>
        </is>
      </c>
      <c r="L68" s="15" t="inlineStr">
        <is>
          <t>付録B.差分方式判定表</t>
        </is>
      </c>
    </row>
    <row r="69" ht="17" customHeight="1">
      <c r="B69" s="14" t="inlineStr">
        <is>
          <t>付録C. 作業チェックリスト</t>
        </is>
      </c>
      <c r="L69" s="15" t="inlineStr">
        <is>
          <t>付録C.チェックリスト</t>
        </is>
      </c>
    </row>
    <row r="70" ht="15" customHeight="1">
      <c r="C70" s="16" t="inlineStr">
        <is>
          <t>C.1. 初期全量移行 開始判定（Go/No-Go）</t>
        </is>
      </c>
      <c r="L70" s="15" t="inlineStr">
        <is>
          <t>付録C.チェックリスト</t>
        </is>
      </c>
    </row>
    <row r="71" ht="15" customHeight="1">
      <c r="C71" s="16" t="inlineStr">
        <is>
          <t>C.2. 初期全量移行 完了判定</t>
        </is>
      </c>
      <c r="L71" s="15" t="inlineStr">
        <is>
          <t>付録C.チェックリスト</t>
        </is>
      </c>
    </row>
    <row r="72" ht="15" customHeight="1">
      <c r="C72" s="16" t="inlineStr">
        <is>
          <t>C.3. 本番切替 前日判定（Go/No-Go）</t>
        </is>
      </c>
      <c r="L72" s="15" t="inlineStr">
        <is>
          <t>付録C.チェックリスト</t>
        </is>
      </c>
    </row>
    <row r="73" ht="15" customHeight="1">
      <c r="C73" s="16" t="inlineStr">
        <is>
          <t>C.4. 本番切替 当日（サービス開始判定）</t>
        </is>
      </c>
      <c r="L73" s="15" t="inlineStr">
        <is>
          <t>付録C.チェックリスト</t>
        </is>
      </c>
    </row>
    <row r="74" ht="15" customHeight="1">
      <c r="C74" s="16" t="inlineStr">
        <is>
          <t>C.5. 後片付け完了確認</t>
        </is>
      </c>
      <c r="L74" s="15" t="inlineStr">
        <is>
          <t>付録C.チェックリスト</t>
        </is>
      </c>
    </row>
  </sheetData>
  <mergeCells count="72">
    <mergeCell ref="C47:K47"/>
    <mergeCell ref="B2:M2"/>
    <mergeCell ref="D20:K20"/>
    <mergeCell ref="C25:K25"/>
    <mergeCell ref="C63:K63"/>
    <mergeCell ref="C41:K41"/>
    <mergeCell ref="C55:K55"/>
    <mergeCell ref="D19:K19"/>
    <mergeCell ref="C50:K50"/>
    <mergeCell ref="C44:K44"/>
    <mergeCell ref="B65:K65"/>
    <mergeCell ref="C40:K40"/>
    <mergeCell ref="C9:K9"/>
    <mergeCell ref="B68:K68"/>
    <mergeCell ref="C31:K31"/>
    <mergeCell ref="C56:K56"/>
    <mergeCell ref="D22:K22"/>
    <mergeCell ref="C43:K43"/>
    <mergeCell ref="C12:K12"/>
    <mergeCell ref="C59:K59"/>
    <mergeCell ref="C60:K60"/>
    <mergeCell ref="C11:K11"/>
    <mergeCell ref="C51:K51"/>
    <mergeCell ref="D21:K21"/>
    <mergeCell ref="B4:K4"/>
    <mergeCell ref="C27:K27"/>
    <mergeCell ref="C71:K71"/>
    <mergeCell ref="C36:K36"/>
    <mergeCell ref="B35:K35"/>
    <mergeCell ref="C52:K52"/>
    <mergeCell ref="C70:K70"/>
    <mergeCell ref="C48:K48"/>
    <mergeCell ref="C17:K17"/>
    <mergeCell ref="C23:K23"/>
    <mergeCell ref="C39:K39"/>
    <mergeCell ref="B16:K16"/>
    <mergeCell ref="C8:K8"/>
    <mergeCell ref="B54:K54"/>
    <mergeCell ref="C32:K32"/>
    <mergeCell ref="C7:K7"/>
    <mergeCell ref="C38:K38"/>
    <mergeCell ref="B66:K66"/>
    <mergeCell ref="B46:K46"/>
    <mergeCell ref="C72:K72"/>
    <mergeCell ref="C57:K57"/>
    <mergeCell ref="C37:K37"/>
    <mergeCell ref="C28:K28"/>
    <mergeCell ref="C13:K13"/>
    <mergeCell ref="C18:K18"/>
    <mergeCell ref="C49:K49"/>
    <mergeCell ref="C34:K34"/>
    <mergeCell ref="C6:K6"/>
    <mergeCell ref="C24:K24"/>
    <mergeCell ref="C30:K30"/>
    <mergeCell ref="C62:K62"/>
    <mergeCell ref="C15:K15"/>
    <mergeCell ref="C33:K33"/>
    <mergeCell ref="B61:K61"/>
    <mergeCell ref="B67:K67"/>
    <mergeCell ref="C5:K5"/>
    <mergeCell ref="C42:K42"/>
    <mergeCell ref="C58:K58"/>
    <mergeCell ref="C14:K14"/>
    <mergeCell ref="B53:K53"/>
    <mergeCell ref="C74:K74"/>
    <mergeCell ref="B29:K29"/>
    <mergeCell ref="C45:K45"/>
    <mergeCell ref="C26:K26"/>
    <mergeCell ref="C64:K64"/>
    <mergeCell ref="B69:K69"/>
    <mergeCell ref="C73:K73"/>
    <mergeCell ref="B10:K10"/>
  </mergeCells>
  <hyperlinks>
    <hyperlink ref="B4" location="'1.はじめに'!A1"/>
    <hyperlink ref="C5" location="'1.はじめに'!A3"/>
    <hyperlink ref="C6" location="'1.はじめに'!A15"/>
    <hyperlink ref="C7" location="'1.はじめに'!A25"/>
    <hyperlink ref="C8" location="'1.はじめに'!A44"/>
    <hyperlink ref="C9" location="'1.はじめに'!A56"/>
    <hyperlink ref="B10" location="'2.移行方式概要'!A1"/>
    <hyperlink ref="C11" location="'2.移行方式概要'!A3"/>
    <hyperlink ref="C12" location="'2.移行方式概要'!A35"/>
    <hyperlink ref="C13" location="'2.移行方式概要'!A70"/>
    <hyperlink ref="C14" location="'2.移行方式概要'!A78"/>
    <hyperlink ref="C15" location="'2.移行方式概要'!A85"/>
    <hyperlink ref="B16" location="'3.事前準備'!A1"/>
    <hyperlink ref="C17" location="'3.事前準備'!A5"/>
    <hyperlink ref="C18" location="'3.事前準備'!A29"/>
    <hyperlink ref="D19" location="'3.事前準備'!A30"/>
    <hyperlink ref="D20" location="'3.事前準備'!A50"/>
    <hyperlink ref="D21" location="'3.事前準備'!A71"/>
    <hyperlink ref="D22" location="'3.事前準備'!A83"/>
    <hyperlink ref="C23" location="'3.事前準備'!A94"/>
    <hyperlink ref="C24" location="'3.事前準備'!A125"/>
    <hyperlink ref="C25" location="'3.事前準備'!A145"/>
    <hyperlink ref="C26" location="'3.事前準備'!A153"/>
    <hyperlink ref="C27" location="'3.事前準備'!A164"/>
    <hyperlink ref="C28" location="'3.事前準備'!A175"/>
    <hyperlink ref="B29" location="'4.初期全量移行'!A1"/>
    <hyperlink ref="C30" location="'4.初期全量移行'!A12"/>
    <hyperlink ref="C31" location="'4.初期全量移行'!A22"/>
    <hyperlink ref="C32" location="'4.初期全量移行'!A29"/>
    <hyperlink ref="C33" location="'4.初期全量移行'!A41"/>
    <hyperlink ref="C34" location="'4.初期全量移行'!A53"/>
    <hyperlink ref="B35" location="'5.差分移行・切替'!A1"/>
    <hyperlink ref="C36" location="'5.差分移行・切替'!A5"/>
    <hyperlink ref="C37" location="'5.差分移行・切替'!A16"/>
    <hyperlink ref="C38" location="'5.差分移行・切替'!A25"/>
    <hyperlink ref="C39" location="'5.差分移行・切替'!A38"/>
    <hyperlink ref="C40" location="'5.差分移行・切替'!A57"/>
    <hyperlink ref="C41" location="'5.差分移行・切替'!A69"/>
    <hyperlink ref="C42" location="'5.差分移行・切替'!A72"/>
    <hyperlink ref="C43" location="'5.差分移行・切替'!A83"/>
    <hyperlink ref="C44" location="'5.差分移行・切替'!A92"/>
    <hyperlink ref="C45" location="'5.差分移行・切替'!A103"/>
    <hyperlink ref="B46" location="'6.移行後検証'!A1"/>
    <hyperlink ref="C47" location="'6.移行後検証'!A3"/>
    <hyperlink ref="C48" location="'6.移行後検証'!A12"/>
    <hyperlink ref="C49" location="'6.移行後検証'!A30"/>
    <hyperlink ref="C50" location="'6.移行後検証'!A42"/>
    <hyperlink ref="C51" location="'6.移行後検証'!A54"/>
    <hyperlink ref="C52" location="'6.移行後検証'!A63"/>
    <hyperlink ref="B53" location="'7.リスクと対策'!A1"/>
    <hyperlink ref="B54" location="'8.留意事項'!A1"/>
    <hyperlink ref="C55" location="'8.留意事項'!A3"/>
    <hyperlink ref="C56" location="'8.留意事項'!A13"/>
    <hyperlink ref="C57" location="'8.留意事項'!A20"/>
    <hyperlink ref="C58" location="'8.留意事項'!A31"/>
    <hyperlink ref="C59" location="'8.留意事項'!A38"/>
    <hyperlink ref="C60" location="'8.留意事項'!A45"/>
    <hyperlink ref="B61" location="'9.後片付け'!A1"/>
    <hyperlink ref="C62" location="'9.後片付け'!A4"/>
    <hyperlink ref="C63" location="'9.後片付け'!A14"/>
    <hyperlink ref="C64" location="'9.後片付け'!A28"/>
    <hyperlink ref="B65" location="'10.課題'!A1"/>
    <hyperlink ref="B66" location="'11.変更履歴'!A1"/>
    <hyperlink ref="B67" location="'付録A.コマンド例'!A1"/>
    <hyperlink ref="B68" location="'付録B.差分方式判定表'!A1"/>
    <hyperlink ref="B69" location="'付録C.チェックリスト'!A1"/>
    <hyperlink ref="C70" location="'付録C.チェックリスト'!A5"/>
    <hyperlink ref="C71" location="'付録C.チェックリスト'!A14"/>
    <hyperlink ref="C72" location="'付録C.チェックリスト'!A25"/>
    <hyperlink ref="C73" location="'付録C.チェックリスト'!A38"/>
    <hyperlink ref="C74" location="'付録C.チェックリスト'!A53"/>
  </hyperlink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M72"/>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1. はじめに</t>
        </is>
      </c>
    </row>
    <row r="2" ht="4" customHeight="1"/>
    <row r="3" ht="20" customHeight="1">
      <c r="B3" s="19" t="inlineStr">
        <is>
          <t>1.1. 本文書の目的</t>
        </is>
      </c>
      <c r="C3" s="20" t="n"/>
      <c r="D3" s="20" t="n"/>
      <c r="E3" s="20" t="n"/>
      <c r="F3" s="20" t="n"/>
      <c r="G3" s="20" t="n"/>
      <c r="H3" s="20" t="n"/>
      <c r="I3" s="20" t="n"/>
      <c r="J3" s="20" t="n"/>
      <c r="K3" s="20" t="n"/>
      <c r="L3" s="20" t="n"/>
      <c r="M3" s="20" t="n"/>
    </row>
    <row r="4" ht="31" customHeight="1">
      <c r="D4" s="7" t="inlineStr">
        <is>
          <t>本文書は、統合顧客DB システムの基盤移行（処理用DB 老朽化対応）のうち、データベース（Oracle Database 11g R2 → Amazon RDS for Oracle 19c）の移行について、移行方式・事前準備・移行手順・差分移行・検証・リスク対策・留意事項・移行後の後片付けを定めることを目的とする。</t>
        </is>
      </c>
    </row>
    <row r="5" ht="31" customHeight="1">
      <c r="D5" s="7" t="inlineStr">
        <is>
          <t>本文書は移行仕様書 ver1 付録A.3「データベース移行」を詳細化したものであり、移行手順書（コマンドレベルの作業手順書）およびリハーサル・本番切替の実施計画のインプットとなる。</t>
        </is>
      </c>
    </row>
    <row r="6" ht="17.5" customHeight="1">
      <c r="D6" s="7" t="inlineStr">
        <is>
          <t>本文書で定める事項は次のとおり。</t>
        </is>
      </c>
    </row>
    <row r="7" ht="17.5" customHeight="1">
      <c r="D7" s="7" t="inlineStr">
        <is>
          <t>・移行対象・移行方式・一貫性（SCN）の考え方（2 章）</t>
        </is>
      </c>
    </row>
    <row r="8" ht="17.5" customHeight="1">
      <c r="D8" s="7" t="inlineStr">
        <is>
          <t>・データ移行前の準備（RDS インスタンス作成、S3 バケット、ネットワーク、現行側・新サーバ側の準備、表分類、リハーサル）（3 章）</t>
        </is>
      </c>
    </row>
    <row r="9" ht="17.5" customHeight="1">
      <c r="D9" s="7" t="inlineStr">
        <is>
          <t>・初期全量移行の手順（エクスポート、転送、S3 アップロード、RDS 取込、事後処理）（4 章）</t>
        </is>
      </c>
    </row>
    <row r="10" ht="17.5" customHeight="1">
      <c r="D10" s="7" t="inlineStr">
        <is>
          <t>・差分移行の方式・手順および本番切替のタイムライン（5 章）</t>
        </is>
      </c>
    </row>
    <row r="11" ht="17.5" customHeight="1">
      <c r="D11" s="7" t="inlineStr">
        <is>
          <t>・移行後の検証（データ完全性、性能、アプリケーション接続、運用）（6 章）</t>
        </is>
      </c>
    </row>
    <row r="12" ht="17.5" customHeight="1">
      <c r="D12" s="7" t="inlineStr">
        <is>
          <t>・リスクと対応策（7 章）、留意事項（8 章）、移行完了後の後片付け（9 章）</t>
        </is>
      </c>
    </row>
    <row r="13" ht="17.5" customHeight="1">
      <c r="D13" s="7" t="inlineStr">
        <is>
          <t>・課題・要確認事項（10 章）、変更履歴（11 章）、コマンド例・判定表・チェックリスト（付録A～C）</t>
        </is>
      </c>
    </row>
    <row r="14" ht="6" customHeight="1"/>
    <row r="15" ht="20" customHeight="1">
      <c r="B15" s="19" t="inlineStr">
        <is>
          <t>1.2. 適用範囲</t>
        </is>
      </c>
      <c r="C15" s="20" t="n"/>
      <c r="D15" s="20" t="n"/>
      <c r="E15" s="20" t="n"/>
      <c r="F15" s="20" t="n"/>
      <c r="G15" s="20" t="n"/>
      <c r="H15" s="20" t="n"/>
      <c r="I15" s="20" t="n"/>
      <c r="J15" s="20" t="n"/>
      <c r="K15" s="20" t="n"/>
      <c r="L15" s="20" t="n"/>
      <c r="M15" s="20" t="n"/>
    </row>
    <row r="16" ht="17.5" customHeight="1">
      <c r="D16" s="7" t="inlineStr">
        <is>
          <t>本文書の適用範囲を以下に示す。</t>
        </is>
      </c>
    </row>
    <row r="17" ht="16" customHeight="1">
      <c r="D17" s="21" t="inlineStr">
        <is>
          <t>表 1-1　適用範囲</t>
        </is>
      </c>
    </row>
    <row r="18" ht="17.5" customHeight="1">
      <c r="D18" s="8" t="inlineStr">
        <is>
          <t>区分</t>
        </is>
      </c>
      <c r="E18" s="22" t="n"/>
      <c r="F18" s="8" t="inlineStr">
        <is>
          <t>内容</t>
        </is>
      </c>
      <c r="G18" s="23" t="n"/>
      <c r="H18" s="23" t="n"/>
      <c r="I18" s="23" t="n"/>
      <c r="J18" s="22" t="n"/>
      <c r="K18" s="8" t="inlineStr">
        <is>
          <t>備考</t>
        </is>
      </c>
      <c r="L18" s="23" t="n"/>
      <c r="M18" s="22" t="n"/>
    </row>
    <row r="19" ht="44.5" customHeight="1">
      <c r="D19" s="10" t="inlineStr">
        <is>
          <t>移行対象（データベース）</t>
        </is>
      </c>
      <c r="E19" s="22" t="n"/>
      <c r="F19" s="10" t="inlineStr">
        <is>
          <r>
            <rPr>
              <rFont val="ＭＳ Ｐゴシック"/>
              <color rgb="00000000"/>
              <sz val="10"/>
            </rPr>
            <t>現行 Oracle 11g R2 インスタンス上の業務スキーマ全体（処理用DB・統合顧客DB：正マスタスキーマ／商圏スキーマ ほか）</t>
          </r>
          <r>
            <rPr>
              <rFont val="ＭＳ Ｐゴシック"/>
              <b val="1"/>
              <color rgb="00FF0000"/>
              <sz val="10"/>
            </rPr>
            <t>【要確認】</t>
          </r>
          <r>
            <rPr>
              <rFont val="ＭＳ Ｐゴシック"/>
              <color rgb="00000000"/>
              <sz val="10"/>
            </rPr>
            <t>スキーマ一覧は事前調査（3.1）で確定</t>
          </r>
        </is>
      </c>
      <c r="G19" s="23" t="n"/>
      <c r="H19" s="23" t="n"/>
      <c r="I19" s="23" t="n"/>
      <c r="J19" s="22" t="n"/>
      <c r="K19" s="10" t="inlineStr">
        <is>
          <t>1 インスタンス内の複数スキーマを RDS 1 インスタンスへ同一スキーマ名で移行</t>
        </is>
      </c>
      <c r="L19" s="23" t="n"/>
      <c r="M19" s="22" t="n"/>
    </row>
    <row r="20" ht="58" customHeight="1">
      <c r="D20" s="10" t="inlineStr">
        <is>
          <t>移行対象（オブジェクト）</t>
        </is>
      </c>
      <c r="E20" s="22" t="n"/>
      <c r="F20" s="10" t="inlineStr">
        <is>
          <t>表・索引・制約・シーケンス・ビュー・マテリアライズドビュー・PL/SQL（プロシージャ／ファンクション／パッケージ／トリガー）・同義語・DB リンク・ユーザ／ロール／権限・プロファイル・DBMS_SCHEDULER／DBMS_JOB ジョブ・表領域定義（RDS 側で事前作成）</t>
        </is>
      </c>
      <c r="G20" s="23" t="n"/>
      <c r="H20" s="23" t="n"/>
      <c r="I20" s="23" t="n"/>
      <c r="J20" s="22" t="n"/>
      <c r="K20" s="10" t="inlineStr">
        <is>
          <t>Data Pump スキーマモードの対象に加え、SYS 所有の付与権限等は手動で再作成</t>
        </is>
      </c>
      <c r="L20" s="23" t="n"/>
      <c r="M20" s="22" t="n"/>
    </row>
    <row r="21" ht="58" customHeight="1">
      <c r="D21" s="10" t="inlineStr">
        <is>
          <t>移行対象外</t>
        </is>
      </c>
      <c r="E21" s="22" t="n"/>
      <c r="F21" s="10" t="inlineStr">
        <is>
          <t>SYS／SYSTEM 所有オブジェクト、Oracle ソフトウェア・初期化パラメータファイル（RDS パラメータグループへ読み替え）、OS 上のファイル（外部表・UTL_FILE 出力先）、監査証跡・AWR／STATSPACK 履歴・アラートログ等の運用データ</t>
        </is>
      </c>
      <c r="G21" s="23" t="n"/>
      <c r="H21" s="23" t="n"/>
      <c r="I21" s="23" t="n"/>
      <c r="J21" s="22" t="n"/>
      <c r="K21" s="10" t="inlineStr">
        <is>
          <t>OS ファイルに依存する処理は代替方式を検討（7 章 リスク No.9）</t>
        </is>
      </c>
      <c r="L21" s="23" t="n"/>
      <c r="M21" s="22" t="n"/>
    </row>
    <row r="22" ht="44.5" customHeight="1">
      <c r="D22" s="10" t="inlineStr">
        <is>
          <t>環境</t>
        </is>
      </c>
      <c r="E22" s="22" t="n"/>
      <c r="F22" s="10" t="inlineStr">
        <is>
          <t>開発（dev）→ QA（qa）→ 本番（honban）の 3 環境。移行手順は開発・QA で確立し、QA でリハーサル（本番相当データ）を実施したうえで本番に適用する</t>
        </is>
      </c>
      <c r="G22" s="23" t="n"/>
      <c r="H22" s="23" t="n"/>
      <c r="I22" s="23" t="n"/>
      <c r="J22" s="22" t="n"/>
      <c r="K22" s="10" t="inlineStr"/>
      <c r="L22" s="23" t="n"/>
      <c r="M22" s="22" t="n"/>
    </row>
    <row r="23" ht="44.5" customHeight="1">
      <c r="D23" s="10" t="inlineStr">
        <is>
          <t>関連する移行</t>
        </is>
      </c>
      <c r="E23" s="22" t="n"/>
      <c r="F23" s="10" t="inlineStr">
        <is>
          <t>アプリケーション（WebLogic→Tomcat）・ASTERIA・HULFT・Data Loader の移行は各設計書に従う。本文書は DB 接続先の切替（5.9）に限り言及する</t>
        </is>
      </c>
      <c r="G23" s="23" t="n"/>
      <c r="H23" s="23" t="n"/>
      <c r="I23" s="23" t="n"/>
      <c r="J23" s="22" t="n"/>
      <c r="K23" s="10" t="inlineStr"/>
      <c r="L23" s="23" t="n"/>
      <c r="M23" s="22" t="n"/>
    </row>
    <row r="24" ht="6" customHeight="1"/>
    <row r="25" ht="20" customHeight="1">
      <c r="B25" s="19" t="inlineStr">
        <is>
          <t>1.3. 前提条件（確認済み事項）</t>
        </is>
      </c>
      <c r="C25" s="20" t="n"/>
      <c r="D25" s="20" t="n"/>
      <c r="E25" s="20" t="n"/>
      <c r="F25" s="20" t="n"/>
      <c r="G25" s="20" t="n"/>
      <c r="H25" s="20" t="n"/>
      <c r="I25" s="20" t="n"/>
      <c r="J25" s="20" t="n"/>
      <c r="K25" s="20" t="n"/>
      <c r="L25" s="20" t="n"/>
      <c r="M25" s="20" t="n"/>
    </row>
    <row r="26" ht="17.5" customHeight="1">
      <c r="D26" s="7" t="inlineStr">
        <is>
          <t>本文書の作成にあたり確認した前提条件を以下に示す（2026/09/15 ヒアリング）。前提が変わる場合は本文書を改版する。</t>
        </is>
      </c>
    </row>
    <row r="27" ht="16" customHeight="1">
      <c r="D27" s="21" t="inlineStr">
        <is>
          <t>表 1-2　前提条件</t>
        </is>
      </c>
    </row>
    <row r="28" ht="17.5" customHeight="1">
      <c r="D28" s="8" t="inlineStr">
        <is>
          <t>No</t>
        </is>
      </c>
      <c r="E28" s="8" t="inlineStr">
        <is>
          <t>項目</t>
        </is>
      </c>
      <c r="F28" s="22" t="n"/>
      <c r="G28" s="8" t="inlineStr">
        <is>
          <t>前提条件</t>
        </is>
      </c>
      <c r="H28" s="23" t="n"/>
      <c r="I28" s="23" t="n"/>
      <c r="J28" s="22" t="n"/>
      <c r="K28" s="8" t="inlineStr">
        <is>
          <t>本文書への反映</t>
        </is>
      </c>
      <c r="L28" s="23" t="n"/>
      <c r="M28" s="22" t="n"/>
    </row>
    <row r="29" ht="58" customHeight="1">
      <c r="D29" s="24" t="inlineStr">
        <is>
          <t>1</t>
        </is>
      </c>
      <c r="E29" s="10" t="inlineStr">
        <is>
          <t>DB バージョン・エディション</t>
        </is>
      </c>
      <c r="F29" s="22" t="n"/>
      <c r="G29" s="10" t="inlineStr">
        <is>
          <t>現行は Oracle Database 11g R2（11.2）Enterprise Edition。移行後は RDS for Oracle 19c Enterprise Edition（BYOL）</t>
        </is>
      </c>
      <c r="H29" s="23" t="n"/>
      <c r="I29" s="23" t="n"/>
      <c r="J29" s="22" t="n"/>
      <c r="K29" s="10" t="inlineStr">
        <is>
          <r>
            <rPr>
              <rFont val="ＭＳ Ｐゴシック"/>
              <color rgb="00000000"/>
              <sz val="10"/>
            </rPr>
            <t>Data Pump の PARALLEL を利用。Advanced Compression オプションの有無が未確認のため、COMPRESSION は METADATA_ONLY を前提とする</t>
          </r>
          <r>
            <rPr>
              <rFont val="ＭＳ Ｐゴシック"/>
              <b val="1"/>
              <color rgb="00FF0000"/>
              <sz val="10"/>
            </rPr>
            <t>【要確認】</t>
          </r>
        </is>
      </c>
      <c r="L29" s="23" t="n"/>
      <c r="M29" s="22" t="n"/>
    </row>
    <row r="30" ht="31" customHeight="1">
      <c r="D30" s="24" t="inlineStr">
        <is>
          <t>2</t>
        </is>
      </c>
      <c r="E30" s="10" t="inlineStr">
        <is>
          <t>文字コード</t>
        </is>
      </c>
      <c r="F30" s="22" t="n"/>
      <c r="G30" s="10" t="inlineStr">
        <is>
          <t>現行 NLS_CHARACTERSET は AL32UTF8</t>
        </is>
      </c>
      <c r="H30" s="23" t="n"/>
      <c r="I30" s="23" t="n"/>
      <c r="J30" s="22" t="n"/>
      <c r="K30" s="10" t="inlineStr">
        <is>
          <t>RDS も AL32UTF8（国際文字セット AL16UTF16）で作成し、文字コード変換は行わない</t>
        </is>
      </c>
      <c r="L30" s="23" t="n"/>
      <c r="M30" s="22" t="n"/>
    </row>
    <row r="31" ht="31" customHeight="1">
      <c r="D31" s="24" t="inlineStr">
        <is>
          <t>3</t>
        </is>
      </c>
      <c r="E31" s="10" t="inlineStr">
        <is>
          <t>DB 構成</t>
        </is>
      </c>
      <c r="F31" s="22" t="n"/>
      <c r="G31" s="10" t="inlineStr">
        <is>
          <t>現行は 1 インスタンス内に複数スキーマ（処理用DB・統合顧客DB）。移行後は RDS 1 インスタンス</t>
        </is>
      </c>
      <c r="H31" s="23" t="n"/>
      <c r="I31" s="23" t="n"/>
      <c r="J31" s="22" t="n"/>
      <c r="K31" s="10" t="inlineStr">
        <is>
          <t>スキーマ名・表領域名は現行と同一とし、REMAP は行わない</t>
        </is>
      </c>
      <c r="L31" s="23" t="n"/>
      <c r="M31" s="22" t="n"/>
    </row>
    <row r="32" ht="31" customHeight="1">
      <c r="D32" s="24" t="inlineStr">
        <is>
          <t>4</t>
        </is>
      </c>
      <c r="E32" s="10" t="inlineStr">
        <is>
          <t>データ量</t>
        </is>
      </c>
      <c r="F32" s="22" t="n"/>
      <c r="G32" s="10" t="inlineStr">
        <is>
          <t>約 1.3TB</t>
        </is>
      </c>
      <c r="H32" s="23" t="n"/>
      <c r="I32" s="23" t="n"/>
      <c r="J32" s="22" t="n"/>
      <c r="K32" s="10" t="inlineStr">
        <is>
          <t>一時 EBS 2TB、RDS ストレージ約 2,000GB、分割取込（バッチ）で設計</t>
        </is>
      </c>
      <c r="L32" s="23" t="n"/>
      <c r="M32" s="22" t="n"/>
    </row>
    <row r="33" ht="31" customHeight="1">
      <c r="D33" s="24" t="inlineStr">
        <is>
          <t>5</t>
        </is>
      </c>
      <c r="E33" s="10" t="inlineStr">
        <is>
          <t>現行サーバのディスク</t>
        </is>
      </c>
      <c r="F33" s="22" t="n"/>
      <c r="G33" s="10" t="inlineStr">
        <is>
          <t>ダンプ出力に足りる空き領域がない</t>
        </is>
      </c>
      <c r="H33" s="23" t="n"/>
      <c r="I33" s="23" t="n"/>
      <c r="J33" s="22" t="n"/>
      <c r="K33" s="10" t="inlineStr">
        <is>
          <t>現行 EC2 に一時 EBS（gp3 2TB）を追加し、Data Pump 出力先とする</t>
        </is>
      </c>
      <c r="L33" s="23" t="n"/>
      <c r="M33" s="22" t="n"/>
    </row>
    <row r="34" ht="31" customHeight="1">
      <c r="D34" s="24" t="inlineStr">
        <is>
          <t>6</t>
        </is>
      </c>
      <c r="E34" s="10" t="inlineStr">
        <is>
          <t>S3 へのアップロード経路</t>
        </is>
      </c>
      <c r="F34" s="22" t="n"/>
      <c r="G34" s="10" t="inlineStr">
        <is>
          <t>RHEL 5.4 では AWS CLI v2 が動作しないため、新 AP/API サーバ（RHEL 9）に AWS CLI v2 を導入して実行</t>
        </is>
      </c>
      <c r="H34" s="23" t="n"/>
      <c r="I34" s="23" t="n"/>
      <c r="J34" s="22" t="n"/>
      <c r="K34" s="10" t="inlineStr">
        <is>
          <t>現行→新サーバは rsync over ssh、新サーバ→S3 は aws s3 cp</t>
        </is>
      </c>
      <c r="L34" s="23" t="n"/>
      <c r="M34" s="22" t="n"/>
    </row>
    <row r="35" ht="31" customHeight="1">
      <c r="D35" s="24" t="inlineStr">
        <is>
          <t>7</t>
        </is>
      </c>
      <c r="E35" s="10" t="inlineStr">
        <is>
          <t>ネットワーク</t>
        </is>
      </c>
      <c r="F35" s="22" t="n"/>
      <c r="G35" s="10" t="inlineStr">
        <is>
          <t>現行 EC2 と新環境（RHEL 9・RDS）は同一 AWS アカウント・別 VPC（VPC Peering）</t>
        </is>
      </c>
      <c r="H35" s="23" t="n"/>
      <c r="I35" s="23" t="n"/>
      <c r="J35" s="22" t="n"/>
      <c r="K35" s="10" t="inlineStr">
        <is>
          <t>ルートテーブル・セキュリティグループ・S3 Gateway エンドポイントを 3.2 で設計</t>
        </is>
      </c>
      <c r="L35" s="23" t="n"/>
      <c r="M35" s="22" t="n"/>
    </row>
    <row r="36" ht="44.5" customHeight="1">
      <c r="D36" s="24" t="inlineStr">
        <is>
          <t>8</t>
        </is>
      </c>
      <c r="E36" s="10" t="inlineStr">
        <is>
          <t>検証期間の運用</t>
        </is>
      </c>
      <c r="F36" s="22" t="n"/>
      <c r="G36" s="10" t="inlineStr">
        <is>
          <t>初期全量移行後、約 1 週間は現行システムが本番稼働を継続し、新環境はアプリ接続・業務・性能検証のみに使用</t>
        </is>
      </c>
      <c r="H36" s="23" t="n"/>
      <c r="I36" s="23" t="n"/>
      <c r="J36" s="22" t="n"/>
      <c r="K36" s="10" t="inlineStr">
        <is>
          <t>検証で更新されたデータは、差分移行前に初期取込完了時点のスナップショットへ復元して破棄する</t>
        </is>
      </c>
      <c r="L36" s="23" t="n"/>
      <c r="M36" s="22" t="n"/>
    </row>
    <row r="37" ht="58" customHeight="1">
      <c r="D37" s="24" t="inlineStr">
        <is>
          <t>9</t>
        </is>
      </c>
      <c r="E37" s="10" t="inlineStr">
        <is>
          <t>本番切替の業務停止時間</t>
        </is>
      </c>
      <c r="F37" s="22" t="n"/>
      <c r="G37" s="10" t="inlineStr">
        <is>
          <t>4 時間以内</t>
        </is>
      </c>
      <c r="H37" s="23" t="n"/>
      <c r="I37" s="23" t="n"/>
      <c r="J37" s="22" t="n"/>
      <c r="K37" s="10" t="inlineStr">
        <is>
          <t>差分エクスポート→転送→取込→検証→接続切替を 4 時間以内に完了するよう設計し、リハーサルで実測。切戻し判断ポイントを T+3:00 に置く</t>
        </is>
      </c>
      <c r="L37" s="23" t="n"/>
      <c r="M37" s="22" t="n"/>
    </row>
    <row r="38" ht="44.5" customHeight="1">
      <c r="D38" s="24" t="inlineStr">
        <is>
          <t>10</t>
        </is>
      </c>
      <c r="E38" s="10" t="inlineStr">
        <is>
          <t>updatedate の信頼性</t>
        </is>
      </c>
      <c r="F38" s="22" t="n"/>
      <c r="G38" s="10" t="inlineStr">
        <is>
          <t>全ての更新経路（オンライン・バッチ・ASTERIA）で updatedate が更新される保証はない</t>
        </is>
      </c>
      <c r="H38" s="23" t="n"/>
      <c r="I38" s="23" t="n"/>
      <c r="J38" s="22" t="n"/>
      <c r="K38" s="10" t="inlineStr">
        <is>
          <t>方式A（タイムスタンプ差分）は調査で「確実」と判定した表のみに適用し、それ以外は方式B（全量再投入）</t>
        </is>
      </c>
      <c r="L38" s="23" t="n"/>
      <c r="M38" s="22" t="n"/>
    </row>
    <row r="39" ht="31" customHeight="1">
      <c r="D39" s="24" t="inlineStr">
        <is>
          <t>11</t>
        </is>
      </c>
      <c r="E39" s="10" t="inlineStr">
        <is>
          <t>削除方式</t>
        </is>
      </c>
      <c r="F39" s="22" t="n"/>
      <c r="G39" s="10" t="inlineStr">
        <is>
          <t>物理削除を行う表と、論理削除（削除フラグ）の表が混在</t>
        </is>
      </c>
      <c r="H39" s="23" t="n"/>
      <c r="I39" s="23" t="n"/>
      <c r="J39" s="22" t="n"/>
      <c r="K39" s="10" t="inlineStr">
        <is>
          <t>物理削除のある表は方式B（タイムスタンプ差分では削除を検出できないため）</t>
        </is>
      </c>
      <c r="L39" s="23" t="n"/>
      <c r="M39" s="22" t="n"/>
    </row>
    <row r="40" ht="31" customHeight="1">
      <c r="D40" s="24" t="inlineStr">
        <is>
          <t>12</t>
        </is>
      </c>
      <c r="E40" s="10" t="inlineStr">
        <is>
          <t>RDS ストレージ</t>
        </is>
      </c>
      <c r="F40" s="22" t="n"/>
      <c r="G40" s="10" t="inlineStr">
        <is>
          <t>RDS ストレージは縮小できない</t>
        </is>
      </c>
      <c r="H40" s="23" t="n"/>
      <c r="I40" s="23" t="n"/>
      <c r="J40" s="22" t="n"/>
      <c r="K40" s="10" t="inlineStr">
        <is>
          <t>ダンプを分割し、S3→DATA_PUMP_DIR のダウンロード・取込・削除を繰り返す（4.3）</t>
        </is>
      </c>
      <c r="L40" s="23" t="n"/>
      <c r="M40" s="22" t="n"/>
    </row>
    <row r="41" ht="31" customHeight="1">
      <c r="D41" s="24" t="inlineStr">
        <is>
          <t>13</t>
        </is>
      </c>
      <c r="E41" s="10" t="inlineStr">
        <is>
          <t>リハーサル</t>
        </is>
      </c>
      <c r="F41" s="22" t="n"/>
      <c r="G41" s="10" t="inlineStr">
        <is>
          <t>QA 環境で本番相当データを用いて全量＋差分の全工程を実施し、所要時間を実測</t>
        </is>
      </c>
      <c r="H41" s="23" t="n"/>
      <c r="I41" s="23" t="n"/>
      <c r="J41" s="22" t="n"/>
      <c r="K41" s="10" t="inlineStr">
        <is>
          <t>3.5 に工程を定義。実測値で 4 時間枠の妥当性を判定</t>
        </is>
      </c>
      <c r="L41" s="23" t="n"/>
      <c r="M41" s="22" t="n"/>
    </row>
    <row r="42" ht="44.5" customHeight="1">
      <c r="D42" s="24" t="inlineStr">
        <is>
          <t>14</t>
        </is>
      </c>
      <c r="E42" s="10" t="inlineStr">
        <is>
          <t>接続切替対象</t>
        </is>
      </c>
      <c r="F42" s="22" t="n"/>
      <c r="G42" s="10" t="inlineStr">
        <is>
          <t>Tomcat JNDI DataSource／ASTERIA Warp 接続定義／シェル・バッチ（sqlplus・SQL*Loader）・JP1 ジョブ／Salesforce Data Loader</t>
        </is>
      </c>
      <c r="H42" s="23" t="n"/>
      <c r="I42" s="23" t="n"/>
      <c r="J42" s="22" t="n"/>
      <c r="K42" s="10" t="inlineStr">
        <is>
          <t>5.9 および 6.4 に反映</t>
        </is>
      </c>
      <c r="L42" s="23" t="n"/>
      <c r="M42" s="22" t="n"/>
    </row>
    <row r="43" ht="6" customHeight="1"/>
    <row r="44" ht="20" customHeight="1">
      <c r="B44" s="19" t="inlineStr">
        <is>
          <t>1.4. 関連文書</t>
        </is>
      </c>
      <c r="C44" s="20" t="n"/>
      <c r="D44" s="20" t="n"/>
      <c r="E44" s="20" t="n"/>
      <c r="F44" s="20" t="n"/>
      <c r="G44" s="20" t="n"/>
      <c r="H44" s="20" t="n"/>
      <c r="I44" s="20" t="n"/>
      <c r="J44" s="20" t="n"/>
      <c r="K44" s="20" t="n"/>
      <c r="L44" s="20" t="n"/>
      <c r="M44" s="20" t="n"/>
    </row>
    <row r="45" ht="16" customHeight="1">
      <c r="D45" s="21" t="inlineStr">
        <is>
          <t>表 1-3　関連文書</t>
        </is>
      </c>
    </row>
    <row r="46" ht="17.5" customHeight="1">
      <c r="D46" s="8" t="inlineStr">
        <is>
          <t>No</t>
        </is>
      </c>
      <c r="E46" s="8" t="inlineStr">
        <is>
          <t>文書名</t>
        </is>
      </c>
      <c r="F46" s="23" t="n"/>
      <c r="G46" s="23" t="n"/>
      <c r="H46" s="22" t="n"/>
      <c r="I46" s="8" t="inlineStr">
        <is>
          <t>版数</t>
        </is>
      </c>
      <c r="J46" s="8" t="inlineStr">
        <is>
          <t>備考</t>
        </is>
      </c>
      <c r="K46" s="23" t="n"/>
      <c r="L46" s="23" t="n"/>
      <c r="M46" s="22" t="n"/>
    </row>
    <row r="47" ht="31" customHeight="1">
      <c r="D47" s="24" t="inlineStr">
        <is>
          <t>1</t>
        </is>
      </c>
      <c r="E47" s="10" t="inlineStr">
        <is>
          <t>統合顧客DB システム 移行仕様書（基盤設計書 移行版）</t>
        </is>
      </c>
      <c r="F47" s="23" t="n"/>
      <c r="G47" s="23" t="n"/>
      <c r="H47" s="22" t="n"/>
      <c r="I47" s="24" t="inlineStr">
        <is>
          <t>ver1</t>
        </is>
      </c>
      <c r="J47" s="10" t="inlineStr">
        <is>
          <t>全体構成・RDS 設計値・命名規則（icdbh01／icdbq01／icdbd01、icaph01w 等）・付録A 移行方式</t>
        </is>
      </c>
      <c r="K47" s="23" t="n"/>
      <c r="L47" s="23" t="n"/>
      <c r="M47" s="22" t="n"/>
    </row>
    <row r="48" ht="31" customHeight="1">
      <c r="D48" s="24" t="inlineStr">
        <is>
          <t>2</t>
        </is>
      </c>
      <c r="E48" s="10" t="inlineStr">
        <is>
          <t>統合顧客DB システム WebLogic→Tomcat 移行設計書</t>
        </is>
      </c>
      <c r="F48" s="23" t="n"/>
      <c r="G48" s="23" t="n"/>
      <c r="H48" s="22" t="n"/>
      <c r="I48" s="24" t="inlineStr">
        <is>
          <t>ver1</t>
        </is>
      </c>
      <c r="J48" s="10" t="inlineStr">
        <is>
          <t>Tomcat JNDI DataSource（context.xml、ojdbc8）の設定</t>
        </is>
      </c>
      <c r="K48" s="23" t="n"/>
      <c r="L48" s="23" t="n"/>
      <c r="M48" s="22" t="n"/>
    </row>
    <row r="49" ht="17.5" customHeight="1">
      <c r="D49" s="24" t="inlineStr">
        <is>
          <t>3</t>
        </is>
      </c>
      <c r="E49" s="10" t="inlineStr">
        <is>
          <t>統合顧客DB システム 基盤設計書（現行）</t>
        </is>
      </c>
      <c r="F49" s="23" t="n"/>
      <c r="G49" s="23" t="n"/>
      <c r="H49" s="22" t="n"/>
      <c r="I49" s="24" t="inlineStr">
        <is>
          <t>Ver1.0.1</t>
        </is>
      </c>
      <c r="J49" s="10" t="inlineStr">
        <is>
          <t>現行 DB 構成・バックアップ方式</t>
        </is>
      </c>
      <c r="K49" s="23" t="n"/>
      <c r="L49" s="23" t="n"/>
      <c r="M49" s="22" t="n"/>
    </row>
    <row r="50" ht="31" customHeight="1">
      <c r="D50" s="24" t="inlineStr">
        <is>
          <t>4</t>
        </is>
      </c>
      <c r="E50" s="10" t="inlineStr">
        <is>
          <t>RDS for Oracle 設計書（移行版）／RDS パラメータシート</t>
        </is>
      </c>
      <c r="F50" s="23" t="n"/>
      <c r="G50" s="23" t="n"/>
      <c r="H50" s="22" t="n"/>
      <c r="I50" s="24" t="inlineStr">
        <is>
          <t>作成予定</t>
        </is>
      </c>
      <c r="J50" s="10" t="inlineStr">
        <is>
          <r>
            <rPr>
              <rFont val="ＭＳ Ｐゴシック"/>
              <color rgb="00000000"/>
              <sz val="10"/>
            </rPr>
            <t>パラメータグループ・オプショングループの確定値</t>
          </r>
          <r>
            <rPr>
              <rFont val="ＭＳ Ｐゴシック"/>
              <b val="1"/>
              <color rgb="00FF0000"/>
              <sz val="10"/>
            </rPr>
            <t>【要確認】</t>
          </r>
        </is>
      </c>
      <c r="K50" s="23" t="n"/>
      <c r="L50" s="23" t="n"/>
      <c r="M50" s="22" t="n"/>
    </row>
    <row r="51" ht="17.5" customHeight="1">
      <c r="D51" s="24" t="inlineStr">
        <is>
          <t>5</t>
        </is>
      </c>
      <c r="E51" s="10" t="inlineStr">
        <is>
          <t>AWS 環境定義書（VPC・サブネット・SG・IAM・S3）</t>
        </is>
      </c>
      <c r="F51" s="23" t="n"/>
      <c r="G51" s="23" t="n"/>
      <c r="H51" s="22" t="n"/>
      <c r="I51" s="24" t="inlineStr">
        <is>
          <t>作成予定</t>
        </is>
      </c>
      <c r="J51" s="10" t="inlineStr">
        <is>
          <r>
            <rPr>
              <rFont val="ＭＳ Ｐゴシック"/>
              <color rgb="00000000"/>
              <sz val="10"/>
            </rPr>
            <t>バケット名・IAM ロール名・SG ID 等の固有値</t>
          </r>
          <r>
            <rPr>
              <rFont val="ＭＳ Ｐゴシック"/>
              <b val="1"/>
              <color rgb="00FF0000"/>
              <sz val="10"/>
            </rPr>
            <t>【要確認】</t>
          </r>
        </is>
      </c>
      <c r="K51" s="23" t="n"/>
      <c r="L51" s="23" t="n"/>
      <c r="M51" s="22" t="n"/>
    </row>
    <row r="52" ht="17.5" customHeight="1">
      <c r="D52" s="24" t="inlineStr">
        <is>
          <t>6</t>
        </is>
      </c>
      <c r="E52" s="10" t="inlineStr">
        <is>
          <t>Oracle 移行手順書（コマンドレベル）</t>
        </is>
      </c>
      <c r="F52" s="23" t="n"/>
      <c r="G52" s="23" t="n"/>
      <c r="H52" s="22" t="n"/>
      <c r="I52" s="24" t="inlineStr">
        <is>
          <t>作成予定</t>
        </is>
      </c>
      <c r="J52" s="10" t="inlineStr">
        <is>
          <t>本文書 4・5 章および付録A を基に作成</t>
        </is>
      </c>
      <c r="K52" s="23" t="n"/>
      <c r="L52" s="23" t="n"/>
      <c r="M52" s="22" t="n"/>
    </row>
    <row r="53" ht="31" customHeight="1">
      <c r="D53" s="24" t="inlineStr">
        <is>
          <t>7</t>
        </is>
      </c>
      <c r="E53" s="10" t="inlineStr">
        <is>
          <t>Amazon RDS for Oracle ユーザーガイド（Oracle Data Pump によるインポート、Amazon S3 統合）</t>
        </is>
      </c>
      <c r="F53" s="23" t="n"/>
      <c r="G53" s="23" t="n"/>
      <c r="H53" s="22" t="n"/>
      <c r="I53" s="24" t="inlineStr">
        <is>
          <t>最新版</t>
        </is>
      </c>
      <c r="J53" s="10" t="inlineStr">
        <is>
          <t>AWS 公式ドキュメント</t>
        </is>
      </c>
      <c r="K53" s="23" t="n"/>
      <c r="L53" s="23" t="n"/>
      <c r="M53" s="22" t="n"/>
    </row>
    <row r="54" ht="31" customHeight="1">
      <c r="D54" s="24" t="inlineStr">
        <is>
          <t>8</t>
        </is>
      </c>
      <c r="E54" s="10" t="inlineStr">
        <is>
          <t>Oracle Database ユーティリティ（Data Pump）19c／11.2、Oracle Database アップグレード・ガイド 19c</t>
        </is>
      </c>
      <c r="F54" s="23" t="n"/>
      <c r="G54" s="23" t="n"/>
      <c r="H54" s="22" t="n"/>
      <c r="I54" s="24" t="inlineStr">
        <is>
          <t>該当版</t>
        </is>
      </c>
      <c r="J54" s="10" t="inlineStr">
        <is>
          <t>11g→19c 非互換事項の確認</t>
        </is>
      </c>
      <c r="K54" s="23" t="n"/>
      <c r="L54" s="23" t="n"/>
      <c r="M54" s="22" t="n"/>
    </row>
    <row r="55" ht="6" customHeight="1"/>
    <row r="56" ht="20" customHeight="1">
      <c r="B56" s="19" t="inlineStr">
        <is>
          <t>1.5. 用語</t>
        </is>
      </c>
      <c r="C56" s="20" t="n"/>
      <c r="D56" s="20" t="n"/>
      <c r="E56" s="20" t="n"/>
      <c r="F56" s="20" t="n"/>
      <c r="G56" s="20" t="n"/>
      <c r="H56" s="20" t="n"/>
      <c r="I56" s="20" t="n"/>
      <c r="J56" s="20" t="n"/>
      <c r="K56" s="20" t="n"/>
      <c r="L56" s="20" t="n"/>
      <c r="M56" s="20" t="n"/>
    </row>
    <row r="57" ht="16" customHeight="1">
      <c r="D57" s="21" t="inlineStr">
        <is>
          <t>表 1-4　用語</t>
        </is>
      </c>
    </row>
    <row r="58" ht="17.5" customHeight="1">
      <c r="D58" s="8" t="inlineStr">
        <is>
          <t>用語</t>
        </is>
      </c>
      <c r="E58" s="23" t="n"/>
      <c r="F58" s="22" t="n"/>
      <c r="G58" s="8" t="inlineStr">
        <is>
          <t>説明</t>
        </is>
      </c>
      <c r="H58" s="23" t="n"/>
      <c r="I58" s="23" t="n"/>
      <c r="J58" s="23" t="n"/>
      <c r="K58" s="23" t="n"/>
      <c r="L58" s="23" t="n"/>
      <c r="M58" s="22" t="n"/>
    </row>
    <row r="59" ht="17.5" customHeight="1">
      <c r="D59" s="10" t="inlineStr">
        <is>
          <t>Data Pump（expdp／impdp）</t>
        </is>
      </c>
      <c r="E59" s="23" t="n"/>
      <c r="F59" s="22" t="n"/>
      <c r="G59" s="10" t="inlineStr">
        <is>
          <t>Oracle のエクスポート／インポートユーティリティ。本移行の基本ツール</t>
        </is>
      </c>
      <c r="H59" s="23" t="n"/>
      <c r="I59" s="23" t="n"/>
      <c r="J59" s="23" t="n"/>
      <c r="K59" s="23" t="n"/>
      <c r="L59" s="23" t="n"/>
      <c r="M59" s="22" t="n"/>
    </row>
    <row r="60" ht="31" customHeight="1">
      <c r="D60" s="10" t="inlineStr">
        <is>
          <t>SCN</t>
        </is>
      </c>
      <c r="E60" s="23" t="n"/>
      <c r="F60" s="22" t="n"/>
      <c r="G60" s="10" t="inlineStr">
        <is>
          <t>System Change Number。DB の変更順序を示す番号。本書では S0（初期全量エクスポートの基準）、S1（業務停止後の差分基準）を定義する</t>
        </is>
      </c>
      <c r="H60" s="23" t="n"/>
      <c r="I60" s="23" t="n"/>
      <c r="J60" s="23" t="n"/>
      <c r="K60" s="23" t="n"/>
      <c r="L60" s="23" t="n"/>
      <c r="M60" s="22" t="n"/>
    </row>
    <row r="61" ht="31" customHeight="1">
      <c r="D61" s="10" t="inlineStr">
        <is>
          <t>FLASHBACK_SCN</t>
        </is>
      </c>
      <c r="E61" s="23" t="n"/>
      <c r="F61" s="22" t="n"/>
      <c r="G61" s="10" t="inlineStr">
        <is>
          <t>expdp のパラメータ。指定 SCN 時点の一貫したデータをエクスポートする（現行稼働中でも一貫性を確保）</t>
        </is>
      </c>
      <c r="H61" s="23" t="n"/>
      <c r="I61" s="23" t="n"/>
      <c r="J61" s="23" t="n"/>
      <c r="K61" s="23" t="n"/>
      <c r="L61" s="23" t="n"/>
      <c r="M61" s="22" t="n"/>
    </row>
    <row r="62" ht="31" customHeight="1">
      <c r="D62" s="10" t="inlineStr">
        <is>
          <t>T0</t>
        </is>
      </c>
      <c r="E62" s="23" t="n"/>
      <c r="F62" s="22" t="n"/>
      <c r="G62" s="10" t="inlineStr">
        <is>
          <t>S0 に対応する時刻（SCN_TO_TIMESTAMP(S0)）。方式A の差分抽出条件（updatedate ≧ T0 − マージン）の基準</t>
        </is>
      </c>
      <c r="H62" s="23" t="n"/>
      <c r="I62" s="23" t="n"/>
      <c r="J62" s="23" t="n"/>
      <c r="K62" s="23" t="n"/>
      <c r="L62" s="23" t="n"/>
      <c r="M62" s="22" t="n"/>
    </row>
    <row r="63" ht="31" customHeight="1">
      <c r="D63" s="10" t="inlineStr">
        <is>
          <t>S3 統合（S3_INTEGRATION）</t>
        </is>
      </c>
      <c r="E63" s="23" t="n"/>
      <c r="F63" s="22" t="n"/>
      <c r="G63" s="10" t="inlineStr">
        <is>
          <t>RDS for Oracle のオプション。rdsadmin.rdsadmin_s3_tasks により S3 と DATA_PUMP_DIR 間でファイルを転送する</t>
        </is>
      </c>
      <c r="H63" s="23" t="n"/>
      <c r="I63" s="23" t="n"/>
      <c r="J63" s="23" t="n"/>
      <c r="K63" s="23" t="n"/>
      <c r="L63" s="23" t="n"/>
      <c r="M63" s="22" t="n"/>
    </row>
    <row r="64" ht="31" customHeight="1">
      <c r="D64" s="10" t="inlineStr">
        <is>
          <t>DATA_PUMP_DIR</t>
        </is>
      </c>
      <c r="E64" s="23" t="n"/>
      <c r="F64" s="22" t="n"/>
      <c r="G64" s="10" t="inlineStr">
        <is>
          <t>RDS 上の Data Pump 用ディレクトリオブジェクト。RDS ストレージを消費するため、取込後はファイルを削除する</t>
        </is>
      </c>
      <c r="H64" s="23" t="n"/>
      <c r="I64" s="23" t="n"/>
      <c r="J64" s="23" t="n"/>
      <c r="K64" s="23" t="n"/>
      <c r="L64" s="23" t="n"/>
      <c r="M64" s="22" t="n"/>
    </row>
    <row r="65" ht="17.5" customHeight="1">
      <c r="D65" s="10" t="inlineStr">
        <is>
          <t>DPUMP_MIG</t>
        </is>
      </c>
      <c r="E65" s="23" t="n"/>
      <c r="F65" s="22" t="n"/>
      <c r="G65" s="10" t="inlineStr">
        <is>
          <t>現行 DB に作成する移行用ディレクトリオブジェクト（一時 EBS の /dpump を指す）</t>
        </is>
      </c>
      <c r="H65" s="23" t="n"/>
      <c r="I65" s="23" t="n"/>
      <c r="J65" s="23" t="n"/>
      <c r="K65" s="23" t="n"/>
      <c r="L65" s="23" t="n"/>
      <c r="M65" s="22" t="n"/>
    </row>
    <row r="66" ht="31" customHeight="1">
      <c r="D66" s="10" t="inlineStr">
        <is>
          <t>方式A／B／C</t>
        </is>
      </c>
      <c r="E66" s="23" t="n"/>
      <c r="F66" s="22" t="n"/>
      <c r="G66" s="10" t="inlineStr">
        <is>
          <t>差分移行の方式。A：タイムスタンプ差分＋MERGE、B：全量再投入（TRUNCATE＋再投入）、C：変更なしの確認のみ（5.1）</t>
        </is>
      </c>
      <c r="H66" s="23" t="n"/>
      <c r="I66" s="23" t="n"/>
      <c r="J66" s="23" t="n"/>
      <c r="K66" s="23" t="n"/>
      <c r="L66" s="23" t="n"/>
      <c r="M66" s="22" t="n"/>
    </row>
    <row r="67" ht="17.5" customHeight="1">
      <c r="D67" s="10" t="inlineStr">
        <is>
          <t>ステージングスキーマ</t>
        </is>
      </c>
      <c r="E67" s="23" t="n"/>
      <c r="F67" s="22" t="n"/>
      <c r="G67" s="10" t="inlineStr">
        <is>
          <t>方式A の差分データを一旦取り込むための作業用スキーマ（&lt;スキーマ名&gt;_DIFF）。MERGE 後に削除</t>
        </is>
      </c>
      <c r="H67" s="23" t="n"/>
      <c r="I67" s="23" t="n"/>
      <c r="J67" s="23" t="n"/>
      <c r="K67" s="23" t="n"/>
      <c r="L67" s="23" t="n"/>
      <c r="M67" s="22" t="n"/>
    </row>
    <row r="68" ht="31" customHeight="1">
      <c r="D68" s="10" t="inlineStr">
        <is>
          <t>論理削除／物理削除</t>
        </is>
      </c>
      <c r="E68" s="23" t="n"/>
      <c r="F68" s="22" t="n"/>
      <c r="G68" s="10" t="inlineStr">
        <is>
          <t>論理削除：削除フラグ列を更新して行を残す方式。物理削除：DELETE で行を消す方式（タイムスタンプでは検出不可）</t>
        </is>
      </c>
      <c r="H68" s="23" t="n"/>
      <c r="I68" s="23" t="n"/>
      <c r="J68" s="23" t="n"/>
      <c r="K68" s="23" t="n"/>
      <c r="L68" s="23" t="n"/>
      <c r="M68" s="22" t="n"/>
    </row>
    <row r="69" ht="17.5" customHeight="1">
      <c r="D69" s="10" t="inlineStr">
        <is>
          <t>基点スナップショット</t>
        </is>
      </c>
      <c r="E69" s="23" t="n"/>
      <c r="F69" s="22" t="n"/>
      <c r="G69" s="10" t="inlineStr">
        <is>
          <t>初期全量移行・事後処理完了時に取得する RDS 手動スナップショット。差分移行前にこの時点へ復元する</t>
        </is>
      </c>
      <c r="H69" s="23" t="n"/>
      <c r="I69" s="23" t="n"/>
      <c r="J69" s="23" t="n"/>
      <c r="K69" s="23" t="n"/>
      <c r="L69" s="23" t="n"/>
      <c r="M69" s="22" t="n"/>
    </row>
    <row r="70" ht="31" customHeight="1">
      <c r="D70" s="10" t="inlineStr">
        <is>
          <t>Instant Client</t>
        </is>
      </c>
      <c r="E70" s="23" t="n"/>
      <c r="F70" s="22" t="n"/>
      <c r="G70" s="10" t="inlineStr">
        <is>
          <t>新 AP/API サーバ（RHEL 9）に導入する Oracle クライアント（Basic／SQL*Plus／Tools＝impdp・SQL*Loader）</t>
        </is>
      </c>
      <c r="H70" s="23" t="n"/>
      <c r="I70" s="23" t="n"/>
      <c r="J70" s="23" t="n"/>
      <c r="K70" s="23" t="n"/>
      <c r="L70" s="23" t="n"/>
      <c r="M70" s="22" t="n"/>
    </row>
    <row r="71" ht="17.5" customHeight="1">
      <c r="D71" s="10" t="inlineStr">
        <is>
          <t>VPC Peering</t>
        </is>
      </c>
      <c r="E71" s="23" t="n"/>
      <c r="F71" s="22" t="n"/>
      <c r="G71" s="10" t="inlineStr">
        <is>
          <t>現行 VPC と移行後 VPC を接続する AWS のネットワーク機能。rsync（現行→新サーバ）で使用</t>
        </is>
      </c>
      <c r="H71" s="23" t="n"/>
      <c r="I71" s="23" t="n"/>
      <c r="J71" s="23" t="n"/>
      <c r="K71" s="23" t="n"/>
      <c r="L71" s="23" t="n"/>
      <c r="M71" s="22" t="n"/>
    </row>
    <row r="72" ht="17.5" customHeight="1">
      <c r="D72" s="10" t="inlineStr">
        <is>
          <t>ORA_ROWSCN</t>
        </is>
      </c>
      <c r="E72" s="23" t="n"/>
      <c r="F72" s="22" t="n"/>
      <c r="G72" s="10" t="inlineStr">
        <is>
          <t>行（ブロック）の最終変更 SCN を返す疑似列。方式C の「変更なし」確認に使用</t>
        </is>
      </c>
      <c r="H72" s="23" t="n"/>
      <c r="I72" s="23" t="n"/>
      <c r="J72" s="23" t="n"/>
      <c r="K72" s="23" t="n"/>
      <c r="L72" s="23" t="n"/>
      <c r="M72" s="22" t="n"/>
    </row>
  </sheetData>
  <mergeCells count="129">
    <mergeCell ref="D20:E20"/>
    <mergeCell ref="K32:M32"/>
    <mergeCell ref="D12:M12"/>
    <mergeCell ref="K40:M40"/>
    <mergeCell ref="D9:M9"/>
    <mergeCell ref="F19:J19"/>
    <mergeCell ref="D66:F66"/>
    <mergeCell ref="D22:E22"/>
    <mergeCell ref="B44:M44"/>
    <mergeCell ref="G32:J32"/>
    <mergeCell ref="G40:J40"/>
    <mergeCell ref="E47:H47"/>
    <mergeCell ref="G59:M59"/>
    <mergeCell ref="F18:J18"/>
    <mergeCell ref="E34:F34"/>
    <mergeCell ref="G67:M67"/>
    <mergeCell ref="B15:M15"/>
    <mergeCell ref="G61:M61"/>
    <mergeCell ref="G70:M70"/>
    <mergeCell ref="E51:H51"/>
    <mergeCell ref="E36:F36"/>
    <mergeCell ref="K34:M34"/>
    <mergeCell ref="J53:M53"/>
    <mergeCell ref="G62:M62"/>
    <mergeCell ref="K36:M36"/>
    <mergeCell ref="G34:J34"/>
    <mergeCell ref="B56:M56"/>
    <mergeCell ref="K20:M20"/>
    <mergeCell ref="E49:H49"/>
    <mergeCell ref="K29:M29"/>
    <mergeCell ref="G65:M65"/>
    <mergeCell ref="D19:E19"/>
    <mergeCell ref="K22:M22"/>
    <mergeCell ref="J47:M47"/>
    <mergeCell ref="K31:M31"/>
    <mergeCell ref="G29:J29"/>
    <mergeCell ref="D5:M5"/>
    <mergeCell ref="F21:J21"/>
    <mergeCell ref="G31:J31"/>
    <mergeCell ref="E38:F38"/>
    <mergeCell ref="G60:M60"/>
    <mergeCell ref="K23:M23"/>
    <mergeCell ref="D68:F68"/>
    <mergeCell ref="E40:F40"/>
    <mergeCell ref="E48:H48"/>
    <mergeCell ref="D67:F67"/>
    <mergeCell ref="G38:J38"/>
    <mergeCell ref="K18:M18"/>
    <mergeCell ref="D60:F60"/>
    <mergeCell ref="F22:J22"/>
    <mergeCell ref="D69:F69"/>
    <mergeCell ref="J49:M49"/>
    <mergeCell ref="K33:M33"/>
    <mergeCell ref="G69:M69"/>
    <mergeCell ref="D23:E23"/>
    <mergeCell ref="D7:M7"/>
    <mergeCell ref="K35:M35"/>
    <mergeCell ref="D16:M16"/>
    <mergeCell ref="G33:J33"/>
    <mergeCell ref="G35:J35"/>
    <mergeCell ref="G64:M64"/>
    <mergeCell ref="D8:M8"/>
    <mergeCell ref="J46:M46"/>
    <mergeCell ref="J51:M51"/>
    <mergeCell ref="E39:F39"/>
    <mergeCell ref="G63:M63"/>
    <mergeCell ref="E53:H53"/>
    <mergeCell ref="E29:F29"/>
    <mergeCell ref="J48:M48"/>
    <mergeCell ref="D71:F71"/>
    <mergeCell ref="E50:H50"/>
    <mergeCell ref="D58:F58"/>
    <mergeCell ref="K39:M39"/>
    <mergeCell ref="E31:F31"/>
    <mergeCell ref="E52:H52"/>
    <mergeCell ref="K38:M38"/>
    <mergeCell ref="G39:J39"/>
    <mergeCell ref="F23:J23"/>
    <mergeCell ref="D6:M6"/>
    <mergeCell ref="D59:F59"/>
    <mergeCell ref="G37:J37"/>
    <mergeCell ref="G66:M66"/>
    <mergeCell ref="D13:M13"/>
    <mergeCell ref="E32:F32"/>
    <mergeCell ref="E41:F41"/>
    <mergeCell ref="G68:M68"/>
    <mergeCell ref="K21:M21"/>
    <mergeCell ref="E46:H46"/>
    <mergeCell ref="G58:M58"/>
    <mergeCell ref="K41:M41"/>
    <mergeCell ref="D4:M4"/>
    <mergeCell ref="D61:F61"/>
    <mergeCell ref="E33:F33"/>
    <mergeCell ref="D70:F70"/>
    <mergeCell ref="E42:F42"/>
    <mergeCell ref="J50:M50"/>
    <mergeCell ref="E54:H54"/>
    <mergeCell ref="B1:M1"/>
    <mergeCell ref="G41:J41"/>
    <mergeCell ref="D21:E21"/>
    <mergeCell ref="D72:F72"/>
    <mergeCell ref="E35:F35"/>
    <mergeCell ref="J52:M52"/>
    <mergeCell ref="K42:M42"/>
    <mergeCell ref="F20:J20"/>
    <mergeCell ref="D26:M26"/>
    <mergeCell ref="D62:F62"/>
    <mergeCell ref="G72:M72"/>
    <mergeCell ref="E28:F28"/>
    <mergeCell ref="D10:M10"/>
    <mergeCell ref="G36:J36"/>
    <mergeCell ref="G42:J42"/>
    <mergeCell ref="G71:M71"/>
    <mergeCell ref="D64:F64"/>
    <mergeCell ref="K19:M19"/>
    <mergeCell ref="E30:F30"/>
    <mergeCell ref="K28:M28"/>
    <mergeCell ref="K37:M37"/>
    <mergeCell ref="D18:E18"/>
    <mergeCell ref="K30:M30"/>
    <mergeCell ref="D63:F63"/>
    <mergeCell ref="D11:M11"/>
    <mergeCell ref="G28:J28"/>
    <mergeCell ref="B25:M25"/>
    <mergeCell ref="B3:M3"/>
    <mergeCell ref="D65:F65"/>
    <mergeCell ref="E37:F37"/>
    <mergeCell ref="G30:J30"/>
    <mergeCell ref="J54:M54"/>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1:M92"/>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2. 移行方式概要</t>
        </is>
      </c>
    </row>
    <row r="2" ht="4" customHeight="1"/>
    <row r="3" ht="20" customHeight="1">
      <c r="B3" s="19" t="inlineStr">
        <is>
          <t>2.1. 移行の全体像</t>
        </is>
      </c>
      <c r="C3" s="20" t="n"/>
      <c r="D3" s="20" t="n"/>
      <c r="E3" s="20" t="n"/>
      <c r="F3" s="20" t="n"/>
      <c r="G3" s="20" t="n"/>
      <c r="H3" s="20" t="n"/>
      <c r="I3" s="20" t="n"/>
      <c r="J3" s="20" t="n"/>
      <c r="K3" s="20" t="n"/>
      <c r="L3" s="20" t="n"/>
      <c r="M3" s="20" t="n"/>
    </row>
    <row r="4" ht="31" customHeight="1">
      <c r="D4" s="7" t="inlineStr">
        <is>
          <t>移行は「初期全量移行」「検証期間（約 1 週間）」「差分移行・本番切替」の 3 段階で行う。現行システムは切替まで本番稼働を継続し、新環境は検証にのみ使用する。切替時の業務停止は差分移行に要する時間のみ（4 時間以内）とする。</t>
        </is>
      </c>
    </row>
    <row r="5" ht="16" customHeight="1">
      <c r="D5" s="21" t="inlineStr">
        <is>
          <t>表 2-1　移行フェーズ</t>
        </is>
      </c>
    </row>
    <row r="6" ht="17.5" customHeight="1">
      <c r="D6" s="8" t="inlineStr">
        <is>
          <t>フェーズ</t>
        </is>
      </c>
      <c r="E6" s="22" t="n"/>
      <c r="F6" s="8" t="inlineStr">
        <is>
          <t>内容</t>
        </is>
      </c>
      <c r="G6" s="23" t="n"/>
      <c r="H6" s="22" t="n"/>
      <c r="I6" s="8" t="inlineStr">
        <is>
          <t>現行システム</t>
        </is>
      </c>
      <c r="J6" s="22" t="n"/>
      <c r="K6" s="8" t="inlineStr">
        <is>
          <t>新環境（RDS）</t>
        </is>
      </c>
      <c r="L6" s="8" t="inlineStr">
        <is>
          <t>目安期間・時間</t>
        </is>
      </c>
      <c r="M6" s="22" t="n"/>
    </row>
    <row r="7" ht="58" customHeight="1">
      <c r="D7" s="10" t="inlineStr">
        <is>
          <t>0. 事前準備（3 章）</t>
        </is>
      </c>
      <c r="E7" s="22" t="n"/>
      <c r="F7" s="10" t="inlineStr">
        <is>
          <t>AWS 環境構築（RDS・S3・IAM・ネットワーク）、現行 DB の事前調査、表分類（差分方式判定）、移行スクリプト整備、QA でのリハーサル</t>
        </is>
      </c>
      <c r="G7" s="23" t="n"/>
      <c r="H7" s="22" t="n"/>
      <c r="I7" s="10" t="inlineStr">
        <is>
          <t>本番稼働</t>
        </is>
      </c>
      <c r="J7" s="22" t="n"/>
      <c r="K7" s="10" t="inlineStr">
        <is>
          <t>構築・事前作成</t>
        </is>
      </c>
      <c r="L7" s="10" t="inlineStr">
        <is>
          <r>
            <rPr>
              <rFont val="ＭＳ Ｐゴシック"/>
              <color rgb="00000000"/>
              <sz val="10"/>
            </rPr>
            <t>W-4～W-1</t>
          </r>
          <r>
            <rPr>
              <rFont val="ＭＳ Ｐゴシック"/>
              <b val="1"/>
              <color rgb="00FF0000"/>
              <sz val="10"/>
            </rPr>
            <t>【要確認】</t>
          </r>
        </is>
      </c>
      <c r="M7" s="22" t="n"/>
    </row>
    <row r="8" ht="58" customHeight="1">
      <c r="D8" s="10" t="inlineStr">
        <is>
          <t>1. 初期全量移行（4 章）</t>
        </is>
      </c>
      <c r="E8" s="22" t="n"/>
      <c r="F8" s="10" t="inlineStr">
        <is>
          <t>週末に実施。基準 SCN（S0）を取得し、FLASHBACK_SCN=S0 で全量エクスポート → rsync → S3 → RDS へ分割取込 → 事後処理 → 検証 → 基点スナップショット取得</t>
        </is>
      </c>
      <c r="G8" s="23" t="n"/>
      <c r="H8" s="22" t="n"/>
      <c r="I8" s="10" t="inlineStr">
        <is>
          <t>本番稼働継続（更新あり）</t>
        </is>
      </c>
      <c r="J8" s="22" t="n"/>
      <c r="K8" s="10" t="inlineStr">
        <is>
          <t>取込中（未使用）</t>
        </is>
      </c>
      <c r="L8" s="10" t="inlineStr">
        <is>
          <t>1～2 日（リハーサル実測で確定）</t>
        </is>
      </c>
      <c r="M8" s="22" t="n"/>
    </row>
    <row r="9" ht="31" customHeight="1">
      <c r="D9" s="10" t="inlineStr">
        <is>
          <t>2. 検証期間（6 章）</t>
        </is>
      </c>
      <c r="E9" s="22" t="n"/>
      <c r="F9" s="10" t="inlineStr">
        <is>
          <t>新環境でアプリ接続・業務・性能・運用の検証。検証によるデータ更新は許容（後で破棄）</t>
        </is>
      </c>
      <c r="G9" s="23" t="n"/>
      <c r="H9" s="22" t="n"/>
      <c r="I9" s="10" t="inlineStr">
        <is>
          <t>本番稼働継続。DDL 変更・アプリリリースは凍結</t>
        </is>
      </c>
      <c r="J9" s="22" t="n"/>
      <c r="K9" s="10" t="inlineStr">
        <is>
          <t>検証用</t>
        </is>
      </c>
      <c r="L9" s="10" t="inlineStr">
        <is>
          <t>約 1 週間</t>
        </is>
      </c>
      <c r="M9" s="22" t="n"/>
    </row>
    <row r="10" ht="58" customHeight="1">
      <c r="D10" s="10" t="inlineStr">
        <is>
          <t>3. 差分移行・本番切替（5 章）</t>
        </is>
      </c>
      <c r="E10" s="22" t="n"/>
      <c r="F10" s="10" t="inlineStr">
        <is>
          <t>切替前日に RDS を基点スナップショットへ復元 → 業務停止 → S1 取得 → 差分エクスポート（方式A／B）→ 転送 → 取込 → 検証 → 接続切替 → サービス開始</t>
        </is>
      </c>
      <c r="G10" s="23" t="n"/>
      <c r="H10" s="22" t="n"/>
      <c r="I10" s="10" t="inlineStr">
        <is>
          <t>業務停止（4 時間以内）→ 停止状態で保持</t>
        </is>
      </c>
      <c r="J10" s="22" t="n"/>
      <c r="K10" s="10" t="inlineStr">
        <is>
          <t>本番</t>
        </is>
      </c>
      <c r="L10" s="10" t="inlineStr">
        <is>
          <t>4 時間以内</t>
        </is>
      </c>
      <c r="M10" s="22" t="n"/>
    </row>
    <row r="11" ht="44.5" customHeight="1">
      <c r="D11" s="10" t="inlineStr">
        <is>
          <t>4. 後片付け（9 章）</t>
        </is>
      </c>
      <c r="E11" s="22" t="n"/>
      <c r="F11" s="10" t="inlineStr">
        <is>
          <t>一時資源（EBS・S3 ダンプ・中継領域・ステージングスキーマ・検証用インスタンス）の削除、RDS 監視・バックアップ運用の本格化</t>
        </is>
      </c>
      <c r="G11" s="23" t="n"/>
      <c r="H11" s="22" t="n"/>
      <c r="I11" s="10" t="inlineStr">
        <is>
          <t>切替後 1 か月保持後に廃止</t>
        </is>
      </c>
      <c r="J11" s="22" t="n"/>
      <c r="K11" s="10" t="inlineStr">
        <is>
          <t>本番稼働</t>
        </is>
      </c>
      <c r="L11" s="10" t="inlineStr">
        <is>
          <t>切替後 1 か月</t>
        </is>
      </c>
      <c r="M11" s="22" t="n"/>
    </row>
    <row r="12" ht="6" customHeight="1"/>
    <row r="33" ht="16.5" customHeight="1">
      <c r="D33" s="25" t="inlineStr">
        <is>
          <t>図 2-2　移行スケジュール概要（本番環境）　※ SVG／PNG は sys_renewal\Oracle\images\fig2-2_schedule.* を参照</t>
        </is>
      </c>
    </row>
    <row r="34" ht="6" customHeight="1"/>
    <row r="35" ht="20" customHeight="1">
      <c r="B35" s="19" t="inlineStr">
        <is>
          <t>2.2. 移行構成とデータ転送経路</t>
        </is>
      </c>
      <c r="C35" s="20" t="n"/>
      <c r="D35" s="20" t="n"/>
      <c r="E35" s="20" t="n"/>
      <c r="F35" s="20" t="n"/>
      <c r="G35" s="20" t="n"/>
      <c r="H35" s="20" t="n"/>
      <c r="I35" s="20" t="n"/>
      <c r="J35" s="20" t="n"/>
      <c r="K35" s="20" t="n"/>
      <c r="L35" s="20" t="n"/>
      <c r="M35" s="20" t="n"/>
    </row>
    <row r="36" ht="31" customHeight="1">
      <c r="D36" s="7" t="inlineStr">
        <is>
          <t>データ転送経路は「現行 EC2（一時 EBS）→ 新 AP/API サーバ（RHEL 9）→ S3 → RDS」とし、全区間を暗号化する。各構成要素の役割を以下に示す。</t>
        </is>
      </c>
    </row>
    <row r="37" ht="16" customHeight="1">
      <c r="D37" s="21" t="inlineStr">
        <is>
          <t>表 2-2　移行に関わる構成要素</t>
        </is>
      </c>
    </row>
    <row r="38" ht="17.5" customHeight="1">
      <c r="D38" s="8" t="inlineStr">
        <is>
          <t>構成要素</t>
        </is>
      </c>
      <c r="E38" s="22" t="n"/>
      <c r="F38" s="8" t="inlineStr">
        <is>
          <t>役割</t>
        </is>
      </c>
      <c r="G38" s="23" t="n"/>
      <c r="H38" s="22" t="n"/>
      <c r="I38" s="8" t="inlineStr">
        <is>
          <t>移行のための設定・追加資源</t>
        </is>
      </c>
      <c r="J38" s="23" t="n"/>
      <c r="K38" s="23" t="n"/>
      <c r="L38" s="23" t="n"/>
      <c r="M38" s="22" t="n"/>
    </row>
    <row r="39" ht="44.5" customHeight="1">
      <c r="D39" s="10" t="inlineStr">
        <is>
          <t>現行 DB サーバ（EC2 RHEL 5.4、Oracle 11g R2 EE）</t>
        </is>
      </c>
      <c r="E39" s="22" t="n"/>
      <c r="F39" s="10" t="inlineStr">
        <is>
          <t>expdp 実行、S0／S1 の取得、件数（expdp ログ）・チェックサムの記録</t>
        </is>
      </c>
      <c r="G39" s="23" t="n"/>
      <c r="H39" s="22" t="n"/>
      <c r="I39" s="10" t="inlineStr">
        <is>
          <t>一時 EBS（gp3 2TB、暗号化）を /dpump にマウントし、ディレクトリオブジェクト DPUMP_MIG を作成。SG に新 AP/API サーバからの TCP 22 を追加。UNDO 設定の見直し（4.1）</t>
        </is>
      </c>
      <c r="J39" s="23" t="n"/>
      <c r="K39" s="23" t="n"/>
      <c r="L39" s="23" t="n"/>
      <c r="M39" s="22" t="n"/>
    </row>
    <row r="40" ht="58" customHeight="1">
      <c r="D40" s="10" t="inlineStr">
        <is>
          <t>新 AP/API サーバ（EC2 RHEL 9：icaph01w／icapq01w／icapd01w）</t>
        </is>
      </c>
      <c r="E40" s="22" t="n"/>
      <c r="F40" s="10" t="inlineStr">
        <is>
          <t>rsync（現行から取得）、aws s3 cp（S3 へ転送）、impdp／sqlplus（RDS への取込・事後処理・検証）、移行スクリプト・ログの保管</t>
        </is>
      </c>
      <c r="G40" s="23" t="n"/>
      <c r="H40" s="22" t="n"/>
      <c r="I40" s="10" t="inlineStr">
        <is>
          <r>
            <rPr>
              <rFont val="ＭＳ Ｐゴシック"/>
              <color rgb="00000000"/>
              <sz val="10"/>
            </rPr>
            <t>AWS CLI v2、Oracle Instant Client 19c（Basic／SQL*Plus／Tools）、中継領域 /disk3/dpump（2TB、既存 EBS または一時 EBS）</t>
          </r>
          <r>
            <rPr>
              <rFont val="ＭＳ Ｐゴシック"/>
              <b val="1"/>
              <color rgb="00FF0000"/>
              <sz val="10"/>
            </rPr>
            <t>【要確認】</t>
          </r>
          <r>
            <rPr>
              <rFont val="ＭＳ Ｐゴシック"/>
              <color rgb="00000000"/>
              <sz val="10"/>
            </rPr>
            <t>、IAM ロール（S3 移行用バケット書込み）、ssh の LEGACY 互換設定（一時）</t>
          </r>
        </is>
      </c>
      <c r="J40" s="23" t="n"/>
      <c r="K40" s="23" t="n"/>
      <c r="L40" s="23" t="n"/>
      <c r="M40" s="22" t="n"/>
    </row>
    <row r="41" ht="58" customHeight="1">
      <c r="D41" s="10" t="inlineStr">
        <is>
          <t>S3 移行用バケット</t>
        </is>
      </c>
      <c r="E41" s="22" t="n"/>
      <c r="F41" s="10" t="inlineStr">
        <is>
          <t>ダンプファイル・ログの中継保管</t>
        </is>
      </c>
      <c r="G41" s="23" t="n"/>
      <c r="H41" s="22" t="n"/>
      <c r="I41" s="10" t="inlineStr">
        <is>
          <r>
            <rPr>
              <rFont val="ＭＳ Ｐゴシック"/>
              <color rgb="00000000"/>
              <sz val="10"/>
            </rPr>
            <t>環境ごとに 1 バケット（例：ic-dbmig-honban-&lt;アカウントID&gt;）</t>
          </r>
          <r>
            <rPr>
              <rFont val="ＭＳ Ｐゴシック"/>
              <b val="1"/>
              <color rgb="00FF0000"/>
              <sz val="10"/>
            </rPr>
            <t>【要確認】</t>
          </r>
          <r>
            <rPr>
              <rFont val="ＭＳ Ｐゴシック"/>
              <color rgb="00000000"/>
              <sz val="10"/>
            </rPr>
            <t>。SSE-KMS、パブリックアクセスブロック、バージョニング無効、ライフサイクル（30 日で削除）、バケットポリシー（新 AP/API サーバのロールと RDS のロールのみ許可）</t>
          </r>
        </is>
      </c>
      <c r="J41" s="23" t="n"/>
      <c r="K41" s="23" t="n"/>
      <c r="L41" s="23" t="n"/>
      <c r="M41" s="22" t="n"/>
    </row>
    <row r="42" ht="44.5" customHeight="1">
      <c r="D42" s="10" t="inlineStr">
        <is>
          <t>Amazon RDS for Oracle 19c EE（icdbh01／icdbq01／icdbd01）</t>
        </is>
      </c>
      <c r="E42" s="22" t="n"/>
      <c r="F42" s="10" t="inlineStr">
        <is>
          <t>移行先。S3 統合で DATA_PUMP_DIR へダウンロードし、Data Pump で取込</t>
        </is>
      </c>
      <c r="G42" s="23" t="n"/>
      <c r="H42" s="22" t="n"/>
      <c r="I42" s="10" t="inlineStr">
        <is>
          <t>オプショングループ（S3_INTEGRATION、Timezone=Asia/Tokyo）、パラメータグループ、IAM ロール（S3 読み書き）を S3_INTEGRATION 機能名で関連付け、ストレージ約 2,000GB、表領域・ユーザ・ロールの事前作成</t>
        </is>
      </c>
      <c r="J42" s="23" t="n"/>
      <c r="K42" s="23" t="n"/>
      <c r="L42" s="23" t="n"/>
      <c r="M42" s="22" t="n"/>
    </row>
    <row r="43" ht="58" customHeight="1">
      <c r="D43" s="10" t="inlineStr">
        <is>
          <t>ネットワーク</t>
        </is>
      </c>
      <c r="E43" s="22" t="n"/>
      <c r="F43" s="10" t="inlineStr">
        <is>
          <t>現行 VPC ↔ 移行後 VPC 間の rsync、新サーバ→S3、RDS→S3</t>
        </is>
      </c>
      <c r="G43" s="23" t="n"/>
      <c r="H43" s="22" t="n"/>
      <c r="I43" s="10" t="inlineStr">
        <is>
          <r>
            <rPr>
              <rFont val="ＭＳ Ｐゴシック"/>
              <color rgb="00000000"/>
              <sz val="10"/>
            </rPr>
            <t>VPC Peering（既存または新規）</t>
          </r>
          <r>
            <rPr>
              <rFont val="ＭＳ Ｐゴシック"/>
              <b val="1"/>
              <color rgb="00FF0000"/>
              <sz val="10"/>
            </rPr>
            <t>【要確認】</t>
          </r>
          <r>
            <rPr>
              <rFont val="ＭＳ Ｐゴシック"/>
              <color rgb="00000000"/>
              <sz val="10"/>
            </rPr>
            <t>、双方のルートテーブル、SG（現行 EC2：TCP 22 from 新サーバ／RDS：TCP 1521 from 新サーバ・Data Loader）、移行後 VPC の S3 Gateway エンドポイント（新サーバ・RDS のサブネットのルートテーブルに関連付け）</t>
          </r>
        </is>
      </c>
      <c r="J43" s="23" t="n"/>
      <c r="K43" s="23" t="n"/>
      <c r="L43" s="23" t="n"/>
      <c r="M43" s="22" t="n"/>
    </row>
    <row r="44" ht="6" customHeight="1"/>
    <row r="68" ht="16.5" customHeight="1">
      <c r="D68" s="25" t="inlineStr">
        <is>
          <t>図 2-1　Oracle 移行構成・データ転送経路　※ SVG／PNG は sys_renewal\Oracle\images\fig2-1_migration_path.* を参照</t>
        </is>
      </c>
    </row>
    <row r="69" ht="6" customHeight="1"/>
    <row r="70" ht="20" customHeight="1">
      <c r="B70" s="19" t="inlineStr">
        <is>
          <t>2.3. 差分移行の考え方（方式A／B／C）</t>
        </is>
      </c>
      <c r="C70" s="20" t="n"/>
      <c r="D70" s="20" t="n"/>
      <c r="E70" s="20" t="n"/>
      <c r="F70" s="20" t="n"/>
      <c r="G70" s="20" t="n"/>
      <c r="H70" s="20" t="n"/>
      <c r="I70" s="20" t="n"/>
      <c r="J70" s="20" t="n"/>
      <c r="K70" s="20" t="n"/>
      <c r="L70" s="20" t="n"/>
      <c r="M70" s="20" t="n"/>
    </row>
    <row r="71" ht="44.5" customHeight="1">
      <c r="D71" s="7" t="inlineStr">
        <is>
          <t>初期全量移行から本番切替までの約 1 週間に現行で発生した更新を、表単位に次の 3 方式で反映する。updatedate の更新が保証されない表・物理削除のある表・updatedate／主キーのない表は方式B とし、判定に迷う表も方式B とする（安全側）。判定手順・基準は 5.1、判定結果は付録B に記録する。</t>
        </is>
      </c>
    </row>
    <row r="72" ht="16" customHeight="1">
      <c r="D72" s="21" t="inlineStr">
        <is>
          <t>表 2-3　差分移行方式</t>
        </is>
      </c>
    </row>
    <row r="73" ht="17.5" customHeight="1">
      <c r="D73" s="8" t="inlineStr">
        <is>
          <t>方式</t>
        </is>
      </c>
      <c r="E73" s="22" t="n"/>
      <c r="F73" s="8" t="inlineStr">
        <is>
          <t>適用条件（全て満たすこと）</t>
        </is>
      </c>
      <c r="G73" s="22" t="n"/>
      <c r="H73" s="8" t="inlineStr">
        <is>
          <t>差分の抽出（現行、S1 時点）</t>
        </is>
      </c>
      <c r="I73" s="22" t="n"/>
      <c r="J73" s="8" t="inlineStr">
        <is>
          <t>投入（RDS）</t>
        </is>
      </c>
      <c r="K73" s="22" t="n"/>
      <c r="L73" s="8" t="inlineStr">
        <is>
          <t>備考</t>
        </is>
      </c>
      <c r="M73" s="22" t="n"/>
    </row>
    <row r="74" ht="112" customHeight="1">
      <c r="D74" s="10" t="inlineStr">
        <is>
          <t>方式A
タイムスタンプ差分＋MERGE</t>
        </is>
      </c>
      <c r="E74" s="22" t="n"/>
      <c r="F74" s="10" t="inlineStr">
        <is>
          <t>・主キー（または一意キー）がある
・updatedate（および createdate）列があり、全更新経路で必ず更新されると調査で確認できた
・物理削除がない（論理削除または削除なし）</t>
        </is>
      </c>
      <c r="G74" s="22" t="n"/>
      <c r="H74" s="10" t="inlineStr">
        <is>
          <t>expdp（CONTENT=DATA_ONLY、FLASHBACK_SCN=S1）に QUERY「updatedate ≧ T0 − 24 時間」を指定して抽出</t>
        </is>
      </c>
      <c r="I74" s="22" t="n"/>
      <c r="J74" s="10" t="inlineStr">
        <is>
          <t>ステージングスキーマへ取込後、主キーで MERGE（一致：UPDATE、不一致：INSERT）</t>
        </is>
      </c>
      <c r="K74" s="22" t="n"/>
      <c r="L74" s="10" t="inlineStr">
        <is>
          <t>抽出範囲を重複させても MERGE により結果は同一。大表で更新が少ない場合に有効</t>
        </is>
      </c>
      <c r="M74" s="22" t="n"/>
    </row>
    <row r="75" ht="71.5" customHeight="1">
      <c r="D75" s="10" t="inlineStr">
        <is>
          <t>方式B
全量再投入</t>
        </is>
      </c>
      <c r="E75" s="22" t="n"/>
      <c r="F75" s="10" t="inlineStr">
        <is>
          <t>方式A・C の条件を満たさない表（物理削除あり、updatedate なし、更新経路が不確実、主キーなし）、および小規模表（例：1GB 未満）</t>
        </is>
      </c>
      <c r="G75" s="22" t="n"/>
      <c r="H75" s="10" t="inlineStr">
        <is>
          <t>expdp（CONTENT=DATA_ONLY、FLASHBACK_SCN=S1、TABLES 指定）で全件抽出</t>
        </is>
      </c>
      <c r="I75" s="22" t="n"/>
      <c r="J75" s="10" t="inlineStr">
        <is>
          <t>参照整合性制約・トリガーを無効化 → TRUNCATE → impdp（APPEND）→ 制約・トリガー有効化</t>
        </is>
      </c>
      <c r="K75" s="22" t="n"/>
      <c r="L75" s="10" t="inlineStr">
        <is>
          <t>所要時間は表サイズに比例。4 時間枠に収まるようリハーサルで検証</t>
        </is>
      </c>
      <c r="M75" s="22" t="n"/>
    </row>
    <row r="76" ht="58" customHeight="1">
      <c r="D76" s="10" t="inlineStr">
        <is>
          <t>方式C
変更なし確認</t>
        </is>
      </c>
      <c r="E76" s="22" t="n"/>
      <c r="F76" s="10" t="inlineStr">
        <is>
          <t>検証期間中に更新されないことが業務上確実な表（例：年次・組織変更時のみ更新するマスタ、締め済みの履歴）</t>
        </is>
      </c>
      <c r="G76" s="22" t="n"/>
      <c r="H76" s="10" t="inlineStr">
        <is>
          <t>切替時に件数と MAX(ORA_ROWSCN)（または件数＋ハッシュ）で S0 以降の変更がないことを確認</t>
        </is>
      </c>
      <c r="I76" s="22" t="n"/>
      <c r="J76" s="10" t="inlineStr">
        <is>
          <t>投入なし。変更が検出された場合は方式B として投入</t>
        </is>
      </c>
      <c r="K76" s="22" t="n"/>
      <c r="L76" s="10" t="inlineStr">
        <is>
          <r>
            <rPr>
              <rFont val="ＭＳ Ｐゴシック"/>
              <color rgb="00000000"/>
              <sz val="10"/>
            </rPr>
            <t>大表の再投入を避けるための方式。判定は業務主管の確認を要する</t>
          </r>
          <r>
            <rPr>
              <rFont val="ＭＳ Ｐゴシック"/>
              <b val="1"/>
              <color rgb="00FF0000"/>
              <sz val="10"/>
            </rPr>
            <t>【要確認】</t>
          </r>
        </is>
      </c>
      <c r="M76" s="22" t="n"/>
    </row>
    <row r="77" ht="6" customHeight="1"/>
    <row r="78" ht="20" customHeight="1">
      <c r="B78" s="19" t="inlineStr">
        <is>
          <t>2.4. 一貫性の確保（SCN の管理）</t>
        </is>
      </c>
      <c r="C78" s="20" t="n"/>
      <c r="D78" s="20" t="n"/>
      <c r="E78" s="20" t="n"/>
      <c r="F78" s="20" t="n"/>
      <c r="G78" s="20" t="n"/>
      <c r="H78" s="20" t="n"/>
      <c r="I78" s="20" t="n"/>
      <c r="J78" s="20" t="n"/>
      <c r="K78" s="20" t="n"/>
      <c r="L78" s="20" t="n"/>
      <c r="M78" s="20" t="n"/>
    </row>
    <row r="79" ht="31" customHeight="1">
      <c r="D79" s="7" t="inlineStr">
        <is>
          <t>・S0：初期全量エクスポート開始前に現行 DB で取得する SCN（SELECT current_scn FROM v$database）。全量エクスポートの全ジョブ（メタデータ・データ分割ジョブ）に同一の FLASHBACK_SCN=S0 を指定し、ジョブ間の一貫性を保つ。</t>
        </is>
      </c>
    </row>
    <row r="80" ht="31" customHeight="1">
      <c r="D80" s="7" t="inlineStr">
        <is>
          <t>・T0：SCN_TO_TIMESTAMP(S0) で求める時刻。方式A の抽出条件「updatedate ≧ T0 − 24 時間」の基準とする（時刻のずれ・トランザクションの長さを考慮したマージン）。</t>
        </is>
      </c>
    </row>
    <row r="81" ht="31" customHeight="1">
      <c r="D81" s="7" t="inlineStr">
        <is>
          <t>・S1：本番切替で業務を停止し、現行 DB への更新がないことを確認した後に取得する SCN。差分エクスポート（方式A／B）の FLASHBACK_SCN に指定する。</t>
        </is>
      </c>
    </row>
    <row r="82" ht="17.5" customHeight="1">
      <c r="D82" s="7" t="inlineStr">
        <is>
          <t>・S0・T0・S1 は作業記録台帳（8.3）に記録し、件数照合（6.2）の基準時点として使用する。</t>
        </is>
      </c>
    </row>
    <row r="83" ht="31" customHeight="1">
      <c r="D83" s="7" t="inlineStr">
        <is>
          <t>・FLASHBACK_SCN による長時間エクスポートでは ORA-01555（スナップショットが古すぎる）が発生し得るため、UNDO 保持期間・UNDO 表領域を拡張し、業務負荷の低い週末に実施する（7 章 リスク No.2）。</t>
        </is>
      </c>
    </row>
    <row r="84" ht="6" customHeight="1"/>
    <row r="85" ht="20" customHeight="1">
      <c r="B85" s="19" t="inlineStr">
        <is>
          <t>2.5. 移行方式の選定理由</t>
        </is>
      </c>
      <c r="C85" s="20" t="n"/>
      <c r="D85" s="20" t="n"/>
      <c r="E85" s="20" t="n"/>
      <c r="F85" s="20" t="n"/>
      <c r="G85" s="20" t="n"/>
      <c r="H85" s="20" t="n"/>
      <c r="I85" s="20" t="n"/>
      <c r="J85" s="20" t="n"/>
      <c r="K85" s="20" t="n"/>
      <c r="L85" s="20" t="n"/>
      <c r="M85" s="20" t="n"/>
    </row>
    <row r="86" ht="16" customHeight="1">
      <c r="D86" s="21" t="inlineStr">
        <is>
          <t>表 2-4　方式比較</t>
        </is>
      </c>
    </row>
    <row r="87" ht="17.5" customHeight="1">
      <c r="D87" s="8" t="inlineStr">
        <is>
          <t>候補</t>
        </is>
      </c>
      <c r="E87" s="22" t="n"/>
      <c r="F87" s="8" t="inlineStr">
        <is>
          <t>概要</t>
        </is>
      </c>
      <c r="G87" s="23" t="n"/>
      <c r="H87" s="22" t="n"/>
      <c r="I87" s="8" t="inlineStr">
        <is>
          <t>評価</t>
        </is>
      </c>
      <c r="J87" s="23" t="n"/>
      <c r="K87" s="23" t="n"/>
      <c r="L87" s="22" t="n"/>
      <c r="M87" s="8" t="inlineStr">
        <is>
          <t>採否</t>
        </is>
      </c>
    </row>
    <row r="88" ht="31" customHeight="1">
      <c r="D88" s="10" t="inlineStr">
        <is>
          <t>Data Pump ＋ S3 統合（採用）</t>
        </is>
      </c>
      <c r="E88" s="22" t="n"/>
      <c r="F88" s="10" t="inlineStr">
        <is>
          <t>expdp のダンプを S3 経由で RDS に取り込む。AWS 推奨の標準方式</t>
        </is>
      </c>
      <c r="G88" s="23" t="n"/>
      <c r="H88" s="22" t="n"/>
      <c r="I88" s="10" t="inlineStr">
        <is>
          <t>11.2 のダンプを 19c へ直接インポート可能。ツールが標準で追加費用なし。RDS ストレージ制約は分割で回避可能</t>
        </is>
      </c>
      <c r="J88" s="23" t="n"/>
      <c r="K88" s="23" t="n"/>
      <c r="L88" s="22" t="n"/>
      <c r="M88" s="10" t="inlineStr">
        <is>
          <t>採用</t>
        </is>
      </c>
    </row>
    <row r="89" ht="44.5" customHeight="1">
      <c r="D89" s="10" t="inlineStr">
        <is>
          <t>Data Pump ネットワークモード（impdp NETWORK_LINK）</t>
        </is>
      </c>
      <c r="E89" s="22" t="n"/>
      <c r="F89" s="10" t="inlineStr">
        <is>
          <t>RDS から現行 DB へ DB リンクを張り、S3 を介さず直接取込</t>
        </is>
      </c>
      <c r="G89" s="23" t="n"/>
      <c r="H89" s="22" t="n"/>
      <c r="I89" s="10" t="inlineStr">
        <is>
          <t>ダンプ領域が不要だが、RDS→現行 DB のネットワーク経路（Peering）と DB リンクが必要で、1.3TB の転送が単一セッションになり時間面で不利。</t>
        </is>
      </c>
      <c r="J89" s="23" t="n"/>
      <c r="K89" s="23" t="n"/>
      <c r="L89" s="22" t="n"/>
      <c r="M89" s="10" t="inlineStr">
        <is>
          <t>不採用（大表の再投入の代替として検討余地）</t>
        </is>
      </c>
    </row>
    <row r="90" ht="58" customHeight="1">
      <c r="D90" s="10" t="inlineStr">
        <is>
          <t>AWS DMS（全量＋CDC）</t>
        </is>
      </c>
      <c r="E90" s="22" t="n"/>
      <c r="F90" s="10" t="inlineStr">
        <is>
          <t>DMS レプリケーションインスタンスで全量コピーと変更データキャプチャを継続</t>
        </is>
      </c>
      <c r="G90" s="23" t="n"/>
      <c r="H90" s="22" t="n"/>
      <c r="I90" s="10" t="inlineStr">
        <is>
          <t>差分の自動追従が可能だが、現行 DB の ARCHIVELOG／サプリメンタルログ設定と DMS インスタンスが必要。LOB・一部データ型に制約。</t>
        </is>
      </c>
      <c r="J90" s="23" t="n"/>
      <c r="K90" s="23" t="n"/>
      <c r="L90" s="22" t="n"/>
      <c r="M90" s="10" t="inlineStr">
        <is>
          <t>不採用。4 時間枠に収まらない場合の代替案（5.1）</t>
        </is>
      </c>
    </row>
    <row r="91" ht="58" customHeight="1">
      <c r="D91" s="10" t="inlineStr">
        <is>
          <t>現行 DB への変更ログトリガー</t>
        </is>
      </c>
      <c r="E91" s="22" t="n"/>
      <c r="F91" s="10" t="inlineStr">
        <is>
          <t>初期エクスポート前に各表へトリガーを追加し、変更行の主キーを記録</t>
        </is>
      </c>
      <c r="G91" s="23" t="n"/>
      <c r="H91" s="22" t="n"/>
      <c r="I91" s="10" t="inlineStr">
        <is>
          <t>差分抽出が確実になるが、本番 DB への変更（トリガー追加）と性能影響を伴う</t>
        </is>
      </c>
      <c r="J91" s="23" t="n"/>
      <c r="K91" s="23" t="n"/>
      <c r="L91" s="22" t="n"/>
      <c r="M91" s="10" t="inlineStr">
        <is>
          <t>不採用。4 時間枠に収まらない場合の代替案（5.1）</t>
        </is>
      </c>
    </row>
    <row r="92" ht="17.5" customHeight="1">
      <c r="D92" s="10" t="inlineStr">
        <is>
          <t>RMAN／物理コピー</t>
        </is>
      </c>
      <c r="E92" s="22" t="n"/>
      <c r="F92" s="10" t="inlineStr">
        <is>
          <t>データファイルの物理的な複製</t>
        </is>
      </c>
      <c r="G92" s="23" t="n"/>
      <c r="H92" s="22" t="n"/>
      <c r="I92" s="10" t="inlineStr">
        <is>
          <t>RDS では OS・データファイルにアクセスできないため不可</t>
        </is>
      </c>
      <c r="J92" s="23" t="n"/>
      <c r="K92" s="23" t="n"/>
      <c r="L92" s="22" t="n"/>
      <c r="M92" s="10" t="inlineStr">
        <is>
          <t>不可</t>
        </is>
      </c>
    </row>
  </sheetData>
  <mergeCells count="96">
    <mergeCell ref="F8:H8"/>
    <mergeCell ref="L75:M75"/>
    <mergeCell ref="D6:E6"/>
    <mergeCell ref="I41:M41"/>
    <mergeCell ref="I90:L90"/>
    <mergeCell ref="F9:H9"/>
    <mergeCell ref="F92:H92"/>
    <mergeCell ref="F39:H39"/>
    <mergeCell ref="D80:M80"/>
    <mergeCell ref="D7:E7"/>
    <mergeCell ref="I43:M43"/>
    <mergeCell ref="F87:H87"/>
    <mergeCell ref="D73:E73"/>
    <mergeCell ref="F89:H89"/>
    <mergeCell ref="F7:H7"/>
    <mergeCell ref="D88:E88"/>
    <mergeCell ref="I6:J6"/>
    <mergeCell ref="L7:M7"/>
    <mergeCell ref="D10:E10"/>
    <mergeCell ref="J73:K73"/>
    <mergeCell ref="F41:H41"/>
    <mergeCell ref="D90:E90"/>
    <mergeCell ref="D68:M68"/>
    <mergeCell ref="D83:M83"/>
    <mergeCell ref="F74:G74"/>
    <mergeCell ref="F91:H91"/>
    <mergeCell ref="H74:I74"/>
    <mergeCell ref="I7:J7"/>
    <mergeCell ref="D11:E11"/>
    <mergeCell ref="D76:E76"/>
    <mergeCell ref="F76:G76"/>
    <mergeCell ref="D75:E75"/>
    <mergeCell ref="I89:L89"/>
    <mergeCell ref="F75:G75"/>
    <mergeCell ref="B85:M85"/>
    <mergeCell ref="H75:I75"/>
    <mergeCell ref="I8:J8"/>
    <mergeCell ref="J75:K75"/>
    <mergeCell ref="D9:E9"/>
    <mergeCell ref="F11:H11"/>
    <mergeCell ref="D39:E39"/>
    <mergeCell ref="L6:M6"/>
    <mergeCell ref="I10:J10"/>
    <mergeCell ref="D38:E38"/>
    <mergeCell ref="F40:H40"/>
    <mergeCell ref="D89:E89"/>
    <mergeCell ref="I9:J9"/>
    <mergeCell ref="B70:M70"/>
    <mergeCell ref="F73:G73"/>
    <mergeCell ref="D71:M71"/>
    <mergeCell ref="I88:L88"/>
    <mergeCell ref="I11:J11"/>
    <mergeCell ref="D82:M82"/>
    <mergeCell ref="F38:H38"/>
    <mergeCell ref="F90:H90"/>
    <mergeCell ref="H73:I73"/>
    <mergeCell ref="F43:H43"/>
    <mergeCell ref="L8:M8"/>
    <mergeCell ref="J74:K74"/>
    <mergeCell ref="L74:M74"/>
    <mergeCell ref="D91:E91"/>
    <mergeCell ref="D36:M36"/>
    <mergeCell ref="L10:M10"/>
    <mergeCell ref="L76:M76"/>
    <mergeCell ref="I39:M39"/>
    <mergeCell ref="L9:M9"/>
    <mergeCell ref="D92:E92"/>
    <mergeCell ref="F6:H6"/>
    <mergeCell ref="I38:M38"/>
    <mergeCell ref="I87:L87"/>
    <mergeCell ref="L11:M11"/>
    <mergeCell ref="I40:M40"/>
    <mergeCell ref="F42:H42"/>
    <mergeCell ref="D4:M4"/>
    <mergeCell ref="D40:E40"/>
    <mergeCell ref="B1:M1"/>
    <mergeCell ref="D33:M33"/>
    <mergeCell ref="B78:M78"/>
    <mergeCell ref="D79:M79"/>
    <mergeCell ref="D41:E41"/>
    <mergeCell ref="D81:M81"/>
    <mergeCell ref="L73:M73"/>
    <mergeCell ref="D87:E87"/>
    <mergeCell ref="D43:E43"/>
    <mergeCell ref="I91:L91"/>
    <mergeCell ref="I42:M42"/>
    <mergeCell ref="F88:H88"/>
    <mergeCell ref="B35:M35"/>
    <mergeCell ref="D8:E8"/>
    <mergeCell ref="F10:H10"/>
    <mergeCell ref="D74:E74"/>
    <mergeCell ref="D42:E42"/>
    <mergeCell ref="B3:M3"/>
    <mergeCell ref="H76:I76"/>
    <mergeCell ref="J76:K76"/>
    <mergeCell ref="I92:L92"/>
  </mergeCells>
  <pageMargins left="0.5" right="0.5" top="0.6" bottom="0.6" header="0.5" footer="0.5"/>
  <pageSetup orientation="landscape" paperSize="9" fitToHeight="0" fitToWidth="1"/>
  <headerFooter>
    <oddHeader/>
    <oddFooter>&amp;C&amp;9 &amp;P / &amp;N</oddFooter>
    <evenHeader/>
    <evenFooter/>
    <firstHeader/>
    <firstFooter/>
  </headerFooter>
  <rowBreaks count="2" manualBreakCount="2">
    <brk id="12" min="0" max="16383" man="1"/>
    <brk id="44" min="0" max="16383" man="1"/>
  </rowBreaks>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B1:M187"/>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3. データ移行前の準備</t>
        </is>
      </c>
    </row>
    <row r="2" ht="4" customHeight="1"/>
    <row r="3" ht="31" customHeight="1">
      <c r="D3" s="7" t="inlineStr">
        <is>
          <t>本章では初期全量移行に着手する前に完了しておく作業を定める。作業は「現行 DB の事前調査」「AWS 環境構築」「現行側・新サーバ側の準備」「移行スクリプト整備」「表分類（差分方式判定）」「リハーサル」に分け、完了条件を 3.7 のチェックリストで確認する。</t>
        </is>
      </c>
    </row>
    <row r="4" ht="6" customHeight="1"/>
    <row r="5" ht="20" customHeight="1">
      <c r="B5" s="19" t="inlineStr">
        <is>
          <t>3.1. 現行 DB の事前調査</t>
        </is>
      </c>
      <c r="C5" s="20" t="n"/>
      <c r="D5" s="20" t="n"/>
      <c r="E5" s="20" t="n"/>
      <c r="F5" s="20" t="n"/>
      <c r="G5" s="20" t="n"/>
      <c r="H5" s="20" t="n"/>
      <c r="I5" s="20" t="n"/>
      <c r="J5" s="20" t="n"/>
      <c r="K5" s="20" t="n"/>
      <c r="L5" s="20" t="n"/>
      <c r="M5" s="20" t="n"/>
    </row>
    <row r="6" ht="31" customHeight="1">
      <c r="D6" s="7" t="inlineStr">
        <is>
          <r>
            <rPr>
              <rFont val="ＭＳ Ｐゴシック"/>
              <color rgb="00000000"/>
              <sz val="10"/>
            </rPr>
            <t>移行対象の確定、RDS 設計値（ストレージ・パラメータ）の決定、11g→19c／RDS の非互換の洗い出し、差分方式判定の基礎情報の取得を目的として、現行 DB を調査する。調査 SQL の例は付録A（A-1）に示す。結果は「事前調査結果」として記録し、10 章の</t>
          </r>
          <r>
            <rPr>
              <rFont val="ＭＳ Ｐゴシック"/>
              <b val="1"/>
              <color rgb="00FF0000"/>
              <sz val="10"/>
            </rPr>
            <t>【要確認】</t>
          </r>
          <r>
            <rPr>
              <rFont val="ＭＳ Ｐゴシック"/>
              <color rgb="00000000"/>
              <sz val="10"/>
            </rPr>
            <t>事項を確定する。</t>
          </r>
        </is>
      </c>
    </row>
    <row r="7" ht="16" customHeight="1">
      <c r="D7" s="21" t="inlineStr">
        <is>
          <t>表 3-1　事前調査項目</t>
        </is>
      </c>
    </row>
    <row r="8" ht="17.5" customHeight="1">
      <c r="D8" s="8" t="inlineStr">
        <is>
          <t>No</t>
        </is>
      </c>
      <c r="E8" s="8" t="inlineStr">
        <is>
          <t>調査項目</t>
        </is>
      </c>
      <c r="F8" s="22" t="n"/>
      <c r="G8" s="8" t="inlineStr">
        <is>
          <t>取得方法（主な参照先）</t>
        </is>
      </c>
      <c r="H8" s="23" t="n"/>
      <c r="I8" s="22" t="n"/>
      <c r="J8" s="8" t="inlineStr">
        <is>
          <t>利用目的・判断</t>
        </is>
      </c>
      <c r="K8" s="23" t="n"/>
      <c r="L8" s="23" t="n"/>
      <c r="M8" s="22" t="n"/>
    </row>
    <row r="9" ht="58" customHeight="1">
      <c r="D9" s="24" t="inlineStr">
        <is>
          <t>1</t>
        </is>
      </c>
      <c r="E9" s="10" t="inlineStr">
        <is>
          <t>バージョン・エディション・パッチレベル・コンポーネント</t>
        </is>
      </c>
      <c r="F9" s="22" t="n"/>
      <c r="G9" s="10" t="inlineStr">
        <is>
          <t>v$version、dba_registry、v$option</t>
        </is>
      </c>
      <c r="H9" s="23" t="n"/>
      <c r="I9" s="22" t="n"/>
      <c r="J9" s="10" t="inlineStr">
        <is>
          <r>
            <rPr>
              <rFont val="ＭＳ Ｐゴシック"/>
              <color rgb="00000000"/>
              <sz val="10"/>
            </rPr>
            <t>11.2 EE であること（Data Pump PARALLEL 可）。使用中の EE オプション（Partitioning、Advanced Compression 等）を把握し、RDS の BYOL ライセンス範囲と照合</t>
          </r>
          <r>
            <rPr>
              <rFont val="ＭＳ Ｐゴシック"/>
              <b val="1"/>
              <color rgb="00FF0000"/>
              <sz val="10"/>
            </rPr>
            <t>【要確認】</t>
          </r>
        </is>
      </c>
      <c r="K9" s="23" t="n"/>
      <c r="L9" s="23" t="n"/>
      <c r="M9" s="22" t="n"/>
    </row>
    <row r="10" ht="44.5" customHeight="1">
      <c r="D10" s="24" t="inlineStr">
        <is>
          <t>2</t>
        </is>
      </c>
      <c r="E10" s="10" t="inlineStr">
        <is>
          <t>文字コード・NLS パラメータ</t>
        </is>
      </c>
      <c r="F10" s="22" t="n"/>
      <c r="G10" s="10" t="inlineStr">
        <is>
          <t>nls_database_parameters（NLS_CHARACTERSET、NLS_NCHAR_CHARACTERSET、NLS_LENGTH_SEMANTICS 等）</t>
        </is>
      </c>
      <c r="H10" s="23" t="n"/>
      <c r="I10" s="22" t="n"/>
      <c r="J10" s="10" t="inlineStr">
        <is>
          <t>AL32UTF8 の確認。RDS 作成時の文字セット・パラメータグループ値の決定</t>
        </is>
      </c>
      <c r="K10" s="23" t="n"/>
      <c r="L10" s="23" t="n"/>
      <c r="M10" s="22" t="n"/>
    </row>
    <row r="11" ht="44.5" customHeight="1">
      <c r="D11" s="24" t="inlineStr">
        <is>
          <t>3</t>
        </is>
      </c>
      <c r="E11" s="10" t="inlineStr">
        <is>
          <t>タイムゾーン</t>
        </is>
      </c>
      <c r="F11" s="22" t="n"/>
      <c r="G11" s="10" t="inlineStr">
        <is>
          <t>OS の TZ（date）、DBTIMEZONE、SESSIONTIMEZONE、v$timezone_file、TIMESTAMP WITH (LOCAL) TIME ZONE 列の有無</t>
        </is>
      </c>
      <c r="H11" s="23" t="n"/>
      <c r="I11" s="22" t="n"/>
      <c r="J11" s="10" t="inlineStr">
        <is>
          <t>RDS のオプショングループ Timezone（Asia/Tokyo）の決定。SYSDATE の一致確認</t>
        </is>
      </c>
      <c r="K11" s="23" t="n"/>
      <c r="L11" s="23" t="n"/>
      <c r="M11" s="22" t="n"/>
    </row>
    <row r="12" ht="44.5" customHeight="1">
      <c r="D12" s="24" t="inlineStr">
        <is>
          <t>4</t>
        </is>
      </c>
      <c r="E12" s="10" t="inlineStr">
        <is>
          <t>DB サイズ（スキーマ別・表領域別・セグメント種別別・表別）</t>
        </is>
      </c>
      <c r="F12" s="22" t="n"/>
      <c r="G12" s="10" t="inlineStr">
        <is>
          <t>dba_segments、dba_data_files、dba_temp_files、dba_lobs</t>
        </is>
      </c>
      <c r="H12" s="23" t="n"/>
      <c r="I12" s="22" t="n"/>
      <c r="J12" s="10" t="inlineStr">
        <is>
          <t>1.3TB の実測。一時 EBS・中継領域・RDS ストレージ・取込バッチ分割・所要時間見積りの基礎</t>
        </is>
      </c>
      <c r="K12" s="23" t="n"/>
      <c r="L12" s="23" t="n"/>
      <c r="M12" s="22" t="n"/>
    </row>
    <row r="13" ht="44.5" customHeight="1">
      <c r="D13" s="24" t="inlineStr">
        <is>
          <t>5</t>
        </is>
      </c>
      <c r="E13" s="10" t="inlineStr">
        <is>
          <t>スキーマ（ユーザ）一覧・ロール・プロファイル・システム権限・オブジェクト権限</t>
        </is>
      </c>
      <c r="F13" s="22" t="n"/>
      <c r="G13" s="10" t="inlineStr">
        <is>
          <t>dba_users、dba_roles、dba_profiles、dba_sys_privs、dba_role_privs、dba_tab_privs</t>
        </is>
      </c>
      <c r="H13" s="23" t="n"/>
      <c r="I13" s="22" t="n"/>
      <c r="J13" s="10" t="inlineStr">
        <is>
          <t>移行対象スキーマの確定（表 1-1）。RDS 側での事前作成（ユーザ・ロール）と SYS 所有権限の再付与</t>
        </is>
      </c>
      <c r="K13" s="23" t="n"/>
      <c r="L13" s="23" t="n"/>
      <c r="M13" s="22" t="n"/>
    </row>
    <row r="14" ht="44.5" customHeight="1">
      <c r="D14" s="24" t="inlineStr">
        <is>
          <t>6</t>
        </is>
      </c>
      <c r="E14" s="10" t="inlineStr">
        <is>
          <t>表領域一覧（名称・サイズ・ブロックサイズ・BIGFILE／SMALLFILE・自動拡張）</t>
        </is>
      </c>
      <c r="F14" s="22" t="n"/>
      <c r="G14" s="10" t="inlineStr">
        <is>
          <t>dba_tablespaces、dba_data_files</t>
        </is>
      </c>
      <c r="H14" s="23" t="n"/>
      <c r="I14" s="22" t="n"/>
      <c r="J14" s="10" t="inlineStr">
        <is>
          <r>
            <rPr>
              <rFont val="ＭＳ Ｐゴシック"/>
              <color rgb="00000000"/>
              <sz val="10"/>
            </rPr>
            <t>RDS 側に同名表領域を事前作成。ブロックサイズが 8KB 以外の場合は</t>
          </r>
          <r>
            <rPr>
              <rFont val="ＭＳ Ｐゴシック"/>
              <b val="1"/>
              <color rgb="00FF0000"/>
              <sz val="10"/>
            </rPr>
            <t>【要確認】</t>
          </r>
          <r>
            <rPr>
              <rFont val="ＭＳ Ｐゴシック"/>
              <color rgb="00000000"/>
              <sz val="10"/>
            </rPr>
            <t>（RDS は DB 作成時の 1 サイズ）</t>
          </r>
        </is>
      </c>
      <c r="K14" s="23" t="n"/>
      <c r="L14" s="23" t="n"/>
      <c r="M14" s="22" t="n"/>
    </row>
    <row r="15" ht="31" customHeight="1">
      <c r="D15" s="24" t="inlineStr">
        <is>
          <t>7</t>
        </is>
      </c>
      <c r="E15" s="10" t="inlineStr">
        <is>
          <t>オブジェクト数（所有者・種別ごと）・無効オブジェクト</t>
        </is>
      </c>
      <c r="F15" s="22" t="n"/>
      <c r="G15" s="10" t="inlineStr">
        <is>
          <t>dba_objects（OWNER、OBJECT_TYPE、STATUS）</t>
        </is>
      </c>
      <c r="H15" s="23" t="n"/>
      <c r="I15" s="22" t="n"/>
      <c r="J15" s="10" t="inlineStr">
        <is>
          <t>移行後の突合基準（6.2）。移行前から無効のオブジェクトを記録</t>
        </is>
      </c>
      <c r="K15" s="23" t="n"/>
      <c r="L15" s="23" t="n"/>
      <c r="M15" s="22" t="n"/>
    </row>
    <row r="16" ht="44.5" customHeight="1">
      <c r="D16" s="24" t="inlineStr">
        <is>
          <t>8</t>
        </is>
      </c>
      <c r="E16" s="10" t="inlineStr">
        <is>
          <t>SYS／SYSTEM 所有の業務オブジェクト、PUBLIC シノニム、PUBLIC への権限付与</t>
        </is>
      </c>
      <c r="F16" s="22" t="n"/>
      <c r="G16" s="10" t="inlineStr">
        <is>
          <t>dba_objects、dba_synonyms、dba_tab_privs</t>
        </is>
      </c>
      <c r="H16" s="23" t="n"/>
      <c r="I16" s="22" t="n"/>
      <c r="J16" s="10" t="inlineStr">
        <is>
          <t>Data Pump スキーマモードの対象外となるため、手動作成スクリプトを準備</t>
        </is>
      </c>
      <c r="K16" s="23" t="n"/>
      <c r="L16" s="23" t="n"/>
      <c r="M16" s="22" t="n"/>
    </row>
    <row r="17" ht="58" customHeight="1">
      <c r="D17" s="24" t="inlineStr">
        <is>
          <t>9</t>
        </is>
      </c>
      <c r="E17" s="10" t="inlineStr">
        <is>
          <t>DB リンク・ディレクトリオブジェクト・外部表・UTL_FILE／DBMS_SCHEDULER／DBMS_JOB の利用</t>
        </is>
      </c>
      <c r="F17" s="22" t="n"/>
      <c r="G17" s="10" t="inlineStr">
        <is>
          <t>dba_db_links、dba_directories、dba_external_tables、dba_scheduler_jobs、dba_jobs、dba_dependencies（UTL_FILE 参照）</t>
        </is>
      </c>
      <c r="H17" s="23" t="n"/>
      <c r="I17" s="22" t="n"/>
      <c r="J17" s="10" t="inlineStr">
        <is>
          <t>RDS で利用できない OS ファイル参照の代替（S3／新サーバ側処理）を検討。ジョブは RDS 上で切替まで DISABLE</t>
        </is>
      </c>
      <c r="K17" s="23" t="n"/>
      <c r="L17" s="23" t="n"/>
      <c r="M17" s="22" t="n"/>
    </row>
    <row r="18" ht="44.5" customHeight="1">
      <c r="D18" s="24" t="inlineStr">
        <is>
          <t>10</t>
        </is>
      </c>
      <c r="E18" s="10" t="inlineStr">
        <is>
          <t>マテリアライズドビュー・MV ログ、シーケンス（CACHE、LAST_NUMBER）、トリガー</t>
        </is>
      </c>
      <c r="F18" s="22" t="n"/>
      <c r="G18" s="10" t="inlineStr">
        <is>
          <t>dba_mviews、dba_mview_logs、dba_sequences、dba_triggers</t>
        </is>
      </c>
      <c r="H18" s="23" t="n"/>
      <c r="I18" s="22" t="n"/>
      <c r="J18" s="10" t="inlineStr">
        <is>
          <t>移行後の再作成・リフレッシュ、切替時のシーケンス同期（5.7）、方式B 投入時のトリガー無効化対象</t>
        </is>
      </c>
      <c r="K18" s="23" t="n"/>
      <c r="L18" s="23" t="n"/>
      <c r="M18" s="22" t="n"/>
    </row>
    <row r="19" ht="58" customHeight="1">
      <c r="D19" s="24" t="inlineStr">
        <is>
          <t>11</t>
        </is>
      </c>
      <c r="E19" s="10" t="inlineStr">
        <is>
          <t>データ型（LONG／LONG RAW、XMLType、Java、Spatial、TIMESTAMP WITH TIME ZONE、BasicFile LOB）</t>
        </is>
      </c>
      <c r="F19" s="22" t="n"/>
      <c r="G19" s="10" t="inlineStr">
        <is>
          <t>dba_tab_columns、dba_lobs、dba_objects（JAVA）</t>
        </is>
      </c>
      <c r="H19" s="23" t="n"/>
      <c r="I19" s="22" t="n"/>
      <c r="J19" s="10" t="inlineStr">
        <is>
          <r>
            <rPr>
              <rFont val="ＭＳ Ｐゴシック"/>
              <color rgb="00000000"/>
              <sz val="10"/>
            </rPr>
            <t>Data Pump の制約・19c での扱いを確認。Java／外部プロシージャは RDS 制約</t>
          </r>
          <r>
            <rPr>
              <rFont val="ＭＳ Ｐゴシック"/>
              <b val="1"/>
              <color rgb="00FF0000"/>
              <sz val="10"/>
            </rPr>
            <t>【要確認】</t>
          </r>
        </is>
      </c>
      <c r="K19" s="23" t="n"/>
      <c r="L19" s="23" t="n"/>
      <c r="M19" s="22" t="n"/>
    </row>
    <row r="20" ht="44.5" customHeight="1">
      <c r="D20" s="24" t="inlineStr">
        <is>
          <t>12</t>
        </is>
      </c>
      <c r="E20" s="10" t="inlineStr">
        <is>
          <t>初期化パラメータ（非デフォルト値）</t>
        </is>
      </c>
      <c r="F20" s="22" t="n"/>
      <c r="G20" s="10" t="inlineStr">
        <is>
          <t>v$parameter（ISDEFAULT=FALSE）、SPFILE</t>
        </is>
      </c>
      <c r="H20" s="23" t="n"/>
      <c r="I20" s="22" t="n"/>
      <c r="J20" s="10" t="inlineStr">
        <is>
          <t>RDS パラメータグループへ反映する項目の選定（processes、open_cursors、nls_*、optimizer_* 等）。RDS で変更不可の項目は除外</t>
        </is>
      </c>
      <c r="K20" s="23" t="n"/>
      <c r="L20" s="23" t="n"/>
      <c r="M20" s="22" t="n"/>
    </row>
    <row r="21" ht="31" customHeight="1">
      <c r="D21" s="24" t="inlineStr">
        <is>
          <t>13</t>
        </is>
      </c>
      <c r="E21" s="10" t="inlineStr">
        <is>
          <t>UNDO・REDO・アーカイブ設定</t>
        </is>
      </c>
      <c r="F21" s="22" t="n"/>
      <c r="G21" s="10" t="inlineStr">
        <is>
          <t>undo_retention、UNDO 表領域サイズ、v$log、アーカイブログ生成量（日次・週次）</t>
        </is>
      </c>
      <c r="H21" s="23" t="n"/>
      <c r="I21" s="22" t="n"/>
      <c r="J21" s="10" t="inlineStr">
        <is>
          <t>長時間 FLASHBACK_SCN エクスポートの ORA-01555 対策。1 週間の更新量（差分量）の推定</t>
        </is>
      </c>
      <c r="K21" s="23" t="n"/>
      <c r="L21" s="23" t="n"/>
      <c r="M21" s="22" t="n"/>
    </row>
    <row r="22" ht="44.5" customHeight="1">
      <c r="D22" s="24" t="inlineStr">
        <is>
          <t>14</t>
        </is>
      </c>
      <c r="E22" s="10" t="inlineStr">
        <is>
          <t>表ごとの主キー・updatedate／createdate 列・削除方式・更新経路</t>
        </is>
      </c>
      <c r="F22" s="22" t="n"/>
      <c r="G22" s="10" t="inlineStr">
        <is>
          <t>dba_constraints、dba_tab_columns、アプリケーション／バッチ／ASTERIA フローのソース調査</t>
        </is>
      </c>
      <c r="H22" s="23" t="n"/>
      <c r="I22" s="22" t="n"/>
      <c r="J22" s="10" t="inlineStr">
        <is>
          <t>差分方式判定（3.6、付録B）</t>
        </is>
      </c>
      <c r="K22" s="23" t="n"/>
      <c r="L22" s="23" t="n"/>
      <c r="M22" s="22" t="n"/>
    </row>
    <row r="23" ht="31" customHeight="1">
      <c r="D23" s="24" t="inlineStr">
        <is>
          <t>15</t>
        </is>
      </c>
      <c r="E23" s="10" t="inlineStr">
        <is>
          <t>週次更新量（表別）</t>
        </is>
      </c>
      <c r="F23" s="22" t="n"/>
      <c r="G23" s="10" t="inlineStr">
        <is>
          <t>直近 1 週間の updatedate 件数、ORA_ROWSCN、アーカイブログ量、業務ヒアリング</t>
        </is>
      </c>
      <c r="H23" s="23" t="n"/>
      <c r="I23" s="22" t="n"/>
      <c r="J23" s="10" t="inlineStr">
        <is>
          <t>方式A／B の差分量と切替時間（4 時間枠）の見積り</t>
        </is>
      </c>
      <c r="K23" s="23" t="n"/>
      <c r="L23" s="23" t="n"/>
      <c r="M23" s="22" t="n"/>
    </row>
    <row r="24" ht="44.5" customHeight="1">
      <c r="D24" s="24" t="inlineStr">
        <is>
          <t>16</t>
        </is>
      </c>
      <c r="E24" s="10" t="inlineStr">
        <is>
          <t>11g→19c 非互換 SQL／PL/SQL</t>
        </is>
      </c>
      <c r="F24" s="22" t="n"/>
      <c r="G24" s="10" t="inlineStr">
        <is>
          <t>ソース静的チェック（廃止関数 WM_CONCAT、予約語、非推奨パラメータ、暗黙型変換、ROWNUM 依存のソート等）、19c での実行テスト</t>
        </is>
      </c>
      <c r="H24" s="23" t="n"/>
      <c r="I24" s="22" t="n"/>
      <c r="J24" s="10" t="inlineStr">
        <is>
          <t>事前修正・回帰テストの対象抽出（移行仕様書 課題 No.9）</t>
        </is>
      </c>
      <c r="K24" s="23" t="n"/>
      <c r="L24" s="23" t="n"/>
      <c r="M24" s="22" t="n"/>
    </row>
    <row r="25" ht="31" customHeight="1">
      <c r="D25" s="24" t="inlineStr">
        <is>
          <t>17</t>
        </is>
      </c>
      <c r="E25" s="10" t="inlineStr">
        <is>
          <t>接続クライアント一覧（ユーザ・プログラム・ホスト）</t>
        </is>
      </c>
      <c r="F25" s="22" t="n"/>
      <c r="G25" s="10" t="inlineStr">
        <is>
          <t>v$session／監査ログ／listener.log の集計</t>
        </is>
      </c>
      <c r="H25" s="23" t="n"/>
      <c r="I25" s="22" t="n"/>
      <c r="J25" s="10" t="inlineStr">
        <is>
          <t>接続切替対象（5.9）の網羅性確認。想定外の接続元の発見</t>
        </is>
      </c>
      <c r="K25" s="23" t="n"/>
      <c r="L25" s="23" t="n"/>
      <c r="M25" s="22" t="n"/>
    </row>
    <row r="26" ht="31" customHeight="1">
      <c r="D26" s="24" t="inlineStr">
        <is>
          <t>18</t>
        </is>
      </c>
      <c r="E26" s="10" t="inlineStr">
        <is>
          <t>現行のバックアップ方式・直近の成功実績</t>
        </is>
      </c>
      <c r="F26" s="22" t="n"/>
      <c r="G26" s="10" t="inlineStr">
        <is>
          <t>バックアップジョブ・ログ</t>
        </is>
      </c>
      <c r="H26" s="23" t="n"/>
      <c r="I26" s="22" t="n"/>
      <c r="J26" s="10" t="inlineStr">
        <is>
          <t>移行前バックアップ（8.1）の計画</t>
        </is>
      </c>
      <c r="K26" s="23" t="n"/>
      <c r="L26" s="23" t="n"/>
      <c r="M26" s="22" t="n"/>
    </row>
    <row r="27" ht="58" customHeight="1">
      <c r="D27" s="24" t="inlineStr">
        <is>
          <t>19</t>
        </is>
      </c>
      <c r="E27" s="10" t="inlineStr">
        <is>
          <t>性能ベースライン（主要バッチ処理時間、主要 SQL の実行計画・実行時間、AWR／STATSPACK）</t>
        </is>
      </c>
      <c r="F27" s="22" t="n"/>
      <c r="G27" s="10" t="inlineStr">
        <is>
          <r>
            <rPr>
              <rFont val="ＭＳ Ｐゴシック"/>
              <color rgb="00000000"/>
              <sz val="10"/>
            </rPr>
            <t>JP1 ジョブ実績、AWR レポート（Diagnostics Pack ライセンス有の場合）</t>
          </r>
          <r>
            <rPr>
              <rFont val="ＭＳ Ｐゴシック"/>
              <b val="1"/>
              <color rgb="00FF0000"/>
              <sz val="10"/>
            </rPr>
            <t>【要確認】</t>
          </r>
        </is>
      </c>
      <c r="H27" s="23" t="n"/>
      <c r="I27" s="22" t="n"/>
      <c r="J27" s="10" t="inlineStr">
        <is>
          <t>性能テスト（6.3）の比較基準</t>
        </is>
      </c>
      <c r="K27" s="23" t="n"/>
      <c r="L27" s="23" t="n"/>
      <c r="M27" s="22" t="n"/>
    </row>
    <row r="28" ht="6" customHeight="1"/>
    <row r="29" ht="20" customHeight="1">
      <c r="B29" s="19" t="inlineStr">
        <is>
          <t>3.2. AWS 環境構築</t>
        </is>
      </c>
      <c r="C29" s="20" t="n"/>
      <c r="D29" s="20" t="n"/>
      <c r="E29" s="20" t="n"/>
      <c r="F29" s="20" t="n"/>
      <c r="G29" s="20" t="n"/>
      <c r="H29" s="20" t="n"/>
      <c r="I29" s="20" t="n"/>
      <c r="J29" s="20" t="n"/>
      <c r="K29" s="20" t="n"/>
      <c r="L29" s="20" t="n"/>
      <c r="M29" s="20" t="n"/>
    </row>
    <row r="30" ht="18" customHeight="1">
      <c r="C30" s="4" t="inlineStr">
        <is>
          <t>3.2.1. RDS インスタンスの作成</t>
        </is>
      </c>
    </row>
    <row r="31" ht="31" customHeight="1">
      <c r="D31" s="7" t="inlineStr">
        <is>
          <t>移行仕様書 ver1 の設計値を基に、以下の設定で RDS インスタンスを作成する。文字セット・タイムゾーン・DB 名は作成後に変更できない（または変更が困難）ため、事前調査結果と照合してから作成する。</t>
        </is>
      </c>
    </row>
    <row r="32" ht="16" customHeight="1">
      <c r="D32" s="21" t="inlineStr">
        <is>
          <t>表 3-2　RDS インスタンス設定</t>
        </is>
      </c>
    </row>
    <row r="33" ht="17.5" customHeight="1">
      <c r="D33" s="8" t="inlineStr">
        <is>
          <t>項目</t>
        </is>
      </c>
      <c r="E33" s="22" t="n"/>
      <c r="F33" s="8" t="inlineStr">
        <is>
          <t>設定値</t>
        </is>
      </c>
      <c r="G33" s="23" t="n"/>
      <c r="H33" s="23" t="n"/>
      <c r="I33" s="23" t="n"/>
      <c r="J33" s="22" t="n"/>
      <c r="K33" s="8" t="inlineStr">
        <is>
          <t>備考</t>
        </is>
      </c>
      <c r="L33" s="23" t="n"/>
      <c r="M33" s="22" t="n"/>
    </row>
    <row r="34" ht="31" customHeight="1">
      <c r="D34" s="10" t="inlineStr">
        <is>
          <t>エンジン／バージョン</t>
        </is>
      </c>
      <c r="E34" s="22" t="n"/>
      <c r="F34" s="10" t="inlineStr">
        <is>
          <r>
            <rPr>
              <rFont val="ＭＳ Ｐゴシック"/>
              <color rgb="00000000"/>
              <sz val="10"/>
            </rPr>
            <t>Oracle Enterprise Edition 19c（19.0.0.0.ru-YYYY-MM.rur-YYYY-MM.r1、最新 RU）</t>
          </r>
          <r>
            <rPr>
              <rFont val="ＭＳ Ｐゴシック"/>
              <b val="1"/>
              <color rgb="00FF0000"/>
              <sz val="10"/>
            </rPr>
            <t>【要確認】</t>
          </r>
        </is>
      </c>
      <c r="G34" s="23" t="n"/>
      <c r="H34" s="23" t="n"/>
      <c r="I34" s="23" t="n"/>
      <c r="J34" s="22" t="n"/>
      <c r="K34" s="10" t="inlineStr">
        <is>
          <t>BYOL。ライセンスモデル bring-your-own-license</t>
        </is>
      </c>
      <c r="L34" s="23" t="n"/>
      <c r="M34" s="22" t="n"/>
    </row>
    <row r="35" ht="17.5" customHeight="1">
      <c r="D35" s="10" t="inlineStr">
        <is>
          <t>DB インスタンス識別子</t>
        </is>
      </c>
      <c r="E35" s="22" t="n"/>
      <c r="F35" s="10" t="inlineStr">
        <is>
          <t>icdbh01／icdbq01／icdbd01</t>
        </is>
      </c>
      <c r="G35" s="23" t="n"/>
      <c r="H35" s="23" t="n"/>
      <c r="I35" s="23" t="n"/>
      <c r="J35" s="22" t="n"/>
      <c r="K35" s="10" t="inlineStr">
        <is>
          <t>移行仕様書 9.1 命名規則</t>
        </is>
      </c>
      <c r="L35" s="23" t="n"/>
      <c r="M35" s="22" t="n"/>
    </row>
    <row r="36" ht="31" customHeight="1">
      <c r="D36" s="10" t="inlineStr">
        <is>
          <t>DB 名（SID）／サービス名</t>
        </is>
      </c>
      <c r="E36" s="22" t="n"/>
      <c r="F36" s="10" t="inlineStr">
        <is>
          <r>
            <rPr>
              <rFont val="ＭＳ Ｐゴシック"/>
              <color rgb="00000000"/>
              <sz val="10"/>
            </rPr>
            <t>現行と同一の DB 名（8 文字以内、英大文字）</t>
          </r>
          <r>
            <rPr>
              <rFont val="ＭＳ Ｐゴシック"/>
              <b val="1"/>
              <color rgb="00FF0000"/>
              <sz val="10"/>
            </rPr>
            <t>【要確認】</t>
          </r>
        </is>
      </c>
      <c r="G36" s="23" t="n"/>
      <c r="H36" s="23" t="n"/>
      <c r="I36" s="23" t="n"/>
      <c r="J36" s="22" t="n"/>
      <c r="K36" s="10" t="inlineStr">
        <is>
          <t>アプリ接続文字列の SERVICE_NAME に使用。変更する場合は接続定義を合わせる</t>
        </is>
      </c>
      <c r="L36" s="23" t="n"/>
      <c r="M36" s="22" t="n"/>
    </row>
    <row r="37" ht="31" customHeight="1">
      <c r="D37" s="10" t="inlineStr">
        <is>
          <t>インスタンスクラス</t>
        </is>
      </c>
      <c r="E37" s="22" t="n"/>
      <c r="F37" s="10" t="inlineStr">
        <is>
          <r>
            <rPr>
              <rFont val="ＭＳ Ｐゴシック"/>
              <color rgb="00000000"/>
              <sz val="10"/>
            </rPr>
            <t>db.m6i.4xlarge（開発は db.m6i.2xlarge 等）</t>
          </r>
          <r>
            <rPr>
              <rFont val="ＭＳ Ｐゴシック"/>
              <b val="1"/>
              <color rgb="00FF0000"/>
              <sz val="10"/>
            </rPr>
            <t>【要確認】</t>
          </r>
        </is>
      </c>
      <c r="G37" s="23" t="n"/>
      <c r="H37" s="23" t="n"/>
      <c r="I37" s="23" t="n"/>
      <c r="J37" s="22" t="n"/>
      <c r="K37" s="10" t="inlineStr">
        <is>
          <t>移行仕様書の設計値。取込時のみ一時的に上位クラスへ変更する運用も可（停止を伴う）</t>
        </is>
      </c>
      <c r="L37" s="23" t="n"/>
      <c r="M37" s="22" t="n"/>
    </row>
    <row r="38" ht="44.5" customHeight="1">
      <c r="D38" s="10" t="inlineStr">
        <is>
          <t>ストレージ</t>
        </is>
      </c>
      <c r="E38" s="22" t="n"/>
      <c r="F38" s="10" t="inlineStr">
        <is>
          <r>
            <rPr>
              <rFont val="ＭＳ Ｐゴシック"/>
              <color rgb="00000000"/>
              <sz val="10"/>
            </rPr>
            <t>gp3、約 2,000GB（データ 1.3TB＋DATA_PUMP_DIR 一時領域（最大バッチ 300GB）＋成長余裕）</t>
          </r>
          <r>
            <rPr>
              <rFont val="ＭＳ Ｐゴシック"/>
              <b val="1"/>
              <color rgb="00FF0000"/>
              <sz val="10"/>
            </rPr>
            <t>【要確認】</t>
          </r>
          <r>
            <rPr>
              <rFont val="ＭＳ Ｐゴシック"/>
              <color rgb="00000000"/>
              <sz val="10"/>
            </rPr>
            <t>。ストレージ自動スケーリング有効（上限 3,000GB）</t>
          </r>
        </is>
      </c>
      <c r="G38" s="23" t="n"/>
      <c r="H38" s="23" t="n"/>
      <c r="I38" s="23" t="n"/>
      <c r="J38" s="22" t="n"/>
      <c r="K38" s="10" t="inlineStr">
        <is>
          <t>縮小不可のため最小限で開始し、自動スケーリングで保護</t>
        </is>
      </c>
      <c r="L38" s="23" t="n"/>
      <c r="M38" s="22" t="n"/>
    </row>
    <row r="39" ht="31" customHeight="1">
      <c r="D39" s="10" t="inlineStr">
        <is>
          <t>Multi-AZ</t>
        </is>
      </c>
      <c r="E39" s="22" t="n"/>
      <c r="F39" s="10" t="inlineStr">
        <is>
          <t>なし（Single-AZ）</t>
        </is>
      </c>
      <c r="G39" s="23" t="n"/>
      <c r="H39" s="23" t="n"/>
      <c r="I39" s="23" t="n"/>
      <c r="J39" s="22" t="n"/>
      <c r="K39" s="10" t="inlineStr">
        <is>
          <t>移行仕様書 課題 No.3。本番 Multi-AZ 化は別途判断</t>
        </is>
      </c>
      <c r="L39" s="23" t="n"/>
      <c r="M39" s="22" t="n"/>
    </row>
    <row r="40" ht="17.5" customHeight="1">
      <c r="D40" s="10" t="inlineStr">
        <is>
          <t>文字セット</t>
        </is>
      </c>
      <c r="E40" s="22" t="n"/>
      <c r="F40" s="10" t="inlineStr">
        <is>
          <t>AL32UTF8（国際文字セット AL16UTF16）</t>
        </is>
      </c>
      <c r="G40" s="23" t="n"/>
      <c r="H40" s="23" t="n"/>
      <c r="I40" s="23" t="n"/>
      <c r="J40" s="22" t="n"/>
      <c r="K40" s="10" t="inlineStr">
        <is>
          <t>現行と同一</t>
        </is>
      </c>
      <c r="L40" s="23" t="n"/>
      <c r="M40" s="22" t="n"/>
    </row>
    <row r="41" ht="44.5" customHeight="1">
      <c r="D41" s="10" t="inlineStr">
        <is>
          <t>ネットワーク</t>
        </is>
      </c>
      <c r="E41" s="22" t="n"/>
      <c r="F41" s="10" t="inlineStr">
        <is>
          <t>移行後 VPC の DB サブネットグループ（プライベート）、パブリックアクセス なし、SG：TCP 1521 を新 AP/API サーバ・Data Loader サーバから許可</t>
        </is>
      </c>
      <c r="G41" s="23" t="n"/>
      <c r="H41" s="23" t="n"/>
      <c r="I41" s="23" t="n"/>
      <c r="J41" s="22" t="n"/>
      <c r="K41" s="10" t="inlineStr"/>
      <c r="L41" s="23" t="n"/>
      <c r="M41" s="22" t="n"/>
    </row>
    <row r="42" ht="31" customHeight="1">
      <c r="D42" s="10" t="inlineStr">
        <is>
          <t>マスタユーザ</t>
        </is>
      </c>
      <c r="E42" s="22" t="n"/>
      <c r="F42" s="10" t="inlineStr">
        <is>
          <r>
            <rPr>
              <rFont val="ＭＳ Ｐゴシック"/>
              <color rgb="00000000"/>
              <sz val="10"/>
            </rPr>
            <t>admin（名称は環境定義書）</t>
          </r>
          <r>
            <rPr>
              <rFont val="ＭＳ Ｐゴシック"/>
              <b val="1"/>
              <color rgb="00FF0000"/>
              <sz val="10"/>
            </rPr>
            <t>【要確認】</t>
          </r>
          <r>
            <rPr>
              <rFont val="ＭＳ Ｐゴシック"/>
              <color rgb="00000000"/>
              <sz val="10"/>
            </rPr>
            <t>。パスワードは Secrets Manager 管理</t>
          </r>
        </is>
      </c>
      <c r="G42" s="23" t="n"/>
      <c r="H42" s="23" t="n"/>
      <c r="I42" s="23" t="n"/>
      <c r="J42" s="22" t="n"/>
      <c r="K42" s="10" t="inlineStr">
        <is>
          <t>SYS／SYSTEM は使用不可。rdsadmin パッケージで管理操作を行う</t>
        </is>
      </c>
      <c r="L42" s="23" t="n"/>
      <c r="M42" s="22" t="n"/>
    </row>
    <row r="43" ht="17.5" customHeight="1">
      <c r="D43" s="10" t="inlineStr">
        <is>
          <t>暗号化</t>
        </is>
      </c>
      <c r="E43" s="22" t="n"/>
      <c r="F43" s="10" t="inlineStr">
        <is>
          <t>KMS（カスタマー管理キー）で保存時暗号化</t>
        </is>
      </c>
      <c r="G43" s="23" t="n"/>
      <c r="H43" s="23" t="n"/>
      <c r="I43" s="23" t="n"/>
      <c r="J43" s="22" t="n"/>
      <c r="K43" s="10" t="inlineStr">
        <is>
          <t>スナップショットも暗号化される</t>
        </is>
      </c>
      <c r="L43" s="23" t="n"/>
      <c r="M43" s="22" t="n"/>
    </row>
    <row r="44" ht="31" customHeight="1">
      <c r="D44" s="10" t="inlineStr">
        <is>
          <t>バックアップ</t>
        </is>
      </c>
      <c r="E44" s="22" t="n"/>
      <c r="F44" s="10" t="inlineStr">
        <is>
          <r>
            <rPr>
              <rFont val="ＭＳ Ｐゴシック"/>
              <color rgb="00000000"/>
              <sz val="10"/>
            </rPr>
            <t>自動バックアップ保持 7 日、バックアップウィンドウ 深夜（切替日と重ならない時刻）</t>
          </r>
          <r>
            <rPr>
              <rFont val="ＭＳ Ｐゴシック"/>
              <b val="1"/>
              <color rgb="00FF0000"/>
              <sz val="10"/>
            </rPr>
            <t>【要確認】</t>
          </r>
        </is>
      </c>
      <c r="G44" s="23" t="n"/>
      <c r="H44" s="23" t="n"/>
      <c r="I44" s="23" t="n"/>
      <c r="J44" s="22" t="n"/>
      <c r="K44" s="10" t="inlineStr">
        <is>
          <t>移行作業中はバックアップウィンドウを避ける</t>
        </is>
      </c>
      <c r="L44" s="23" t="n"/>
      <c r="M44" s="22" t="n"/>
    </row>
    <row r="45" ht="31" customHeight="1">
      <c r="D45" s="10" t="inlineStr">
        <is>
          <t>メンテナンスウィンドウ</t>
        </is>
      </c>
      <c r="E45" s="22" t="n"/>
      <c r="F45" s="10" t="inlineStr">
        <is>
          <r>
            <rPr>
              <rFont val="ＭＳ Ｐゴシック"/>
              <color rgb="00000000"/>
              <sz val="10"/>
            </rPr>
            <t>日曜以外の深夜（切替日・計画保守時間と重ならない時刻）</t>
          </r>
          <r>
            <rPr>
              <rFont val="ＭＳ Ｐゴシック"/>
              <b val="1"/>
              <color rgb="00FF0000"/>
              <sz val="10"/>
            </rPr>
            <t>【要確認】</t>
          </r>
          <r>
            <rPr>
              <rFont val="ＭＳ Ｐゴシック"/>
              <color rgb="00000000"/>
              <sz val="10"/>
            </rPr>
            <t>、マイナーバージョン自動アップグレード 無効</t>
          </r>
        </is>
      </c>
      <c r="G45" s="23" t="n"/>
      <c r="H45" s="23" t="n"/>
      <c r="I45" s="23" t="n"/>
      <c r="J45" s="22" t="n"/>
      <c r="K45" s="10" t="inlineStr">
        <is>
          <t>切替直後の自動パッチ適用を避ける</t>
        </is>
      </c>
      <c r="L45" s="23" t="n"/>
      <c r="M45" s="22" t="n"/>
    </row>
    <row r="46" ht="17.5" customHeight="1">
      <c r="D46" s="10" t="inlineStr">
        <is>
          <t>削除保護／タグ</t>
        </is>
      </c>
      <c r="E46" s="22" t="n"/>
      <c r="F46" s="10" t="inlineStr">
        <is>
          <t>削除保護 有効、タグ（Name、Env、System=ic）</t>
        </is>
      </c>
      <c r="G46" s="23" t="n"/>
      <c r="H46" s="23" t="n"/>
      <c r="I46" s="23" t="n"/>
      <c r="J46" s="22" t="n"/>
      <c r="K46" s="10" t="inlineStr"/>
      <c r="L46" s="23" t="n"/>
      <c r="M46" s="22" t="n"/>
    </row>
    <row r="47" ht="31" customHeight="1">
      <c r="D47" s="10" t="inlineStr">
        <is>
          <t>Performance Insights／拡張モニタリング</t>
        </is>
      </c>
      <c r="E47" s="22" t="n"/>
      <c r="F47" s="10" t="inlineStr">
        <is>
          <t>有効（保持 7 日）／60 秒</t>
        </is>
      </c>
      <c r="G47" s="23" t="n"/>
      <c r="H47" s="23" t="n"/>
      <c r="I47" s="23" t="n"/>
      <c r="J47" s="22" t="n"/>
      <c r="K47" s="10" t="inlineStr">
        <is>
          <t>性能テスト・移行後監視に使用</t>
        </is>
      </c>
      <c r="L47" s="23" t="n"/>
      <c r="M47" s="22" t="n"/>
    </row>
    <row r="48" ht="17.5" customHeight="1">
      <c r="D48" s="10" t="inlineStr">
        <is>
          <t>ログのエクスポート</t>
        </is>
      </c>
      <c r="E48" s="22" t="n"/>
      <c r="F48" s="10" t="inlineStr">
        <is>
          <t>alert、audit、listener、trace を CloudWatch Logs へ</t>
        </is>
      </c>
      <c r="G48" s="23" t="n"/>
      <c r="H48" s="23" t="n"/>
      <c r="I48" s="23" t="n"/>
      <c r="J48" s="22" t="n"/>
      <c r="K48" s="10" t="inlineStr"/>
      <c r="L48" s="23" t="n"/>
      <c r="M48" s="22" t="n"/>
    </row>
    <row r="49" ht="6" customHeight="1"/>
    <row r="50" ht="18" customHeight="1">
      <c r="C50" s="4" t="inlineStr">
        <is>
          <t>3.2.2. オプショングループ・パラメータグループ</t>
        </is>
      </c>
    </row>
    <row r="51" ht="16" customHeight="1">
      <c r="D51" s="21" t="inlineStr">
        <is>
          <t>表 3-3　オプショングループ（oracle-ee-19、カスタム）</t>
        </is>
      </c>
    </row>
    <row r="52" ht="17.5" customHeight="1">
      <c r="D52" s="8" t="inlineStr">
        <is>
          <t>オプション</t>
        </is>
      </c>
      <c r="E52" s="22" t="n"/>
      <c r="F52" s="8" t="inlineStr">
        <is>
          <t>設定</t>
        </is>
      </c>
      <c r="G52" s="22" t="n"/>
      <c r="H52" s="8" t="inlineStr">
        <is>
          <t>用途</t>
        </is>
      </c>
      <c r="I52" s="23" t="n"/>
      <c r="J52" s="23" t="n"/>
      <c r="K52" s="23" t="n"/>
      <c r="L52" s="23" t="n"/>
      <c r="M52" s="22" t="n"/>
    </row>
    <row r="53" ht="31" customHeight="1">
      <c r="D53" s="10" t="inlineStr">
        <is>
          <t>S3_INTEGRATION</t>
        </is>
      </c>
      <c r="E53" s="22" t="n"/>
      <c r="F53" s="10" t="inlineStr">
        <is>
          <t>バージョン 1.0</t>
        </is>
      </c>
      <c r="G53" s="22" t="n"/>
      <c r="H53" s="10" t="inlineStr">
        <is>
          <t>rdsadmin_s3_tasks による S3 ↔ DATA_PUMP_DIR 転送。移行後は日次 Data Pump バックアップの S3 退避にも利用</t>
        </is>
      </c>
      <c r="I53" s="23" t="n"/>
      <c r="J53" s="23" t="n"/>
      <c r="K53" s="23" t="n"/>
      <c r="L53" s="23" t="n"/>
      <c r="M53" s="22" t="n"/>
    </row>
    <row r="54" ht="17.5" customHeight="1">
      <c r="D54" s="10" t="inlineStr">
        <is>
          <t>Timezone</t>
        </is>
      </c>
      <c r="E54" s="22" t="n"/>
      <c r="F54" s="10" t="inlineStr">
        <is>
          <t>Asia/Tokyo</t>
        </is>
      </c>
      <c r="G54" s="22" t="n"/>
      <c r="H54" s="10" t="inlineStr">
        <is>
          <t>SYSDATE／SYSTIMESTAMP を現行（JST）と一致させる。作成時に設定し、以後変更しない</t>
        </is>
      </c>
      <c r="I54" s="23" t="n"/>
      <c r="J54" s="23" t="n"/>
      <c r="K54" s="23" t="n"/>
      <c r="L54" s="23" t="n"/>
      <c r="M54" s="22" t="n"/>
    </row>
    <row r="55" ht="17.5" customHeight="1">
      <c r="D55" s="10" t="inlineStr">
        <is>
          <t>（参考）SQLT／STATSPACK</t>
        </is>
      </c>
      <c r="E55" s="22" t="n"/>
      <c r="F55" s="10" t="inlineStr">
        <is>
          <t>必要に応じて</t>
        </is>
      </c>
      <c r="G55" s="22" t="n"/>
      <c r="H55" s="10" t="inlineStr">
        <is>
          <t>性能分析用（任意）</t>
        </is>
      </c>
      <c r="I55" s="23" t="n"/>
      <c r="J55" s="23" t="n"/>
      <c r="K55" s="23" t="n"/>
      <c r="L55" s="23" t="n"/>
      <c r="M55" s="22" t="n"/>
    </row>
    <row r="56" ht="6" customHeight="1"/>
    <row r="57" ht="16" customHeight="1">
      <c r="D57" s="21" t="inlineStr">
        <is>
          <t>表 3-4　パラメータグループ（oracle-ee-19、カスタム）の主な設定</t>
        </is>
      </c>
    </row>
    <row r="58" ht="17.5" customHeight="1">
      <c r="D58" s="8" t="inlineStr">
        <is>
          <t>パラメータ</t>
        </is>
      </c>
      <c r="E58" s="23" t="n"/>
      <c r="F58" s="22" t="n"/>
      <c r="G58" s="8" t="inlineStr">
        <is>
          <t>設定値（案）</t>
        </is>
      </c>
      <c r="H58" s="23" t="n"/>
      <c r="I58" s="23" t="n"/>
      <c r="J58" s="22" t="n"/>
      <c r="K58" s="8" t="inlineStr">
        <is>
          <t>備考</t>
        </is>
      </c>
      <c r="L58" s="23" t="n"/>
      <c r="M58" s="22" t="n"/>
    </row>
    <row r="59" ht="31" customHeight="1">
      <c r="D59" s="10" t="inlineStr">
        <is>
          <t>processes／sessions</t>
        </is>
      </c>
      <c r="E59" s="23" t="n"/>
      <c r="F59" s="22" t="n"/>
      <c r="G59" s="10" t="inlineStr">
        <is>
          <r>
            <rPr>
              <rFont val="ＭＳ Ｐゴシック"/>
              <color rgb="00000000"/>
              <sz val="10"/>
            </rPr>
            <t>現行値以上（Tomcat 2 インスタンスのプール上限＋ASTERIA＋バッチ＋管理分）</t>
          </r>
          <r>
            <rPr>
              <rFont val="ＭＳ Ｐゴシック"/>
              <b val="1"/>
              <color rgb="00FF0000"/>
              <sz val="10"/>
            </rPr>
            <t>【要確認】</t>
          </r>
        </is>
      </c>
      <c r="H59" s="23" t="n"/>
      <c r="I59" s="23" t="n"/>
      <c r="J59" s="22" t="n"/>
      <c r="K59" s="10" t="inlineStr">
        <is>
          <t>sessions は processes から自動導出</t>
        </is>
      </c>
      <c r="L59" s="23" t="n"/>
      <c r="M59" s="22" t="n"/>
    </row>
    <row r="60" ht="17.5" customHeight="1">
      <c r="D60" s="10" t="inlineStr">
        <is>
          <t>open_cursors</t>
        </is>
      </c>
      <c r="E60" s="23" t="n"/>
      <c r="F60" s="22" t="n"/>
      <c r="G60" s="10" t="inlineStr">
        <is>
          <t>現行値（例：1000）</t>
        </is>
      </c>
      <c r="H60" s="23" t="n"/>
      <c r="I60" s="23" t="n"/>
      <c r="J60" s="22" t="n"/>
      <c r="K60" s="10" t="inlineStr"/>
      <c r="L60" s="23" t="n"/>
      <c r="M60" s="22" t="n"/>
    </row>
    <row r="61" ht="17.5" customHeight="1">
      <c r="D61" s="10" t="inlineStr">
        <is>
          <t>nls_length_semantics</t>
        </is>
      </c>
      <c r="E61" s="23" t="n"/>
      <c r="F61" s="22" t="n"/>
      <c r="G61" s="10" t="inlineStr">
        <is>
          <t>現行値（BYTE／CHAR）</t>
        </is>
      </c>
      <c r="H61" s="23" t="n"/>
      <c r="I61" s="23" t="n"/>
      <c r="J61" s="22" t="n"/>
      <c r="K61" s="10" t="inlineStr">
        <is>
          <t>不一致だと列長超過エラーの原因</t>
        </is>
      </c>
      <c r="L61" s="23" t="n"/>
      <c r="M61" s="22" t="n"/>
    </row>
    <row r="62" ht="31" customHeight="1">
      <c r="D62" s="10" t="inlineStr">
        <is>
          <t>nls_date_format／nls_timestamp_format／nls_language／nls_territory</t>
        </is>
      </c>
      <c r="E62" s="23" t="n"/>
      <c r="F62" s="22" t="n"/>
      <c r="G62" s="10" t="inlineStr">
        <is>
          <t>現行値</t>
        </is>
      </c>
      <c r="H62" s="23" t="n"/>
      <c r="I62" s="23" t="n"/>
      <c r="J62" s="22" t="n"/>
      <c r="K62" s="10" t="inlineStr">
        <is>
          <t>アプリの暗黙変換依存を維持</t>
        </is>
      </c>
      <c r="L62" s="23" t="n"/>
      <c r="M62" s="22" t="n"/>
    </row>
    <row r="63" ht="31" customHeight="1">
      <c r="D63" s="10" t="inlineStr">
        <is>
          <t>optimizer_features_enable</t>
        </is>
      </c>
      <c r="E63" s="23" t="n"/>
      <c r="F63" s="22" t="n"/>
      <c r="G63" s="10" t="inlineStr">
        <is>
          <t>既定（19.1.0）。性能劣化時の暫定策として 11.2.0.4 へ変更可</t>
        </is>
      </c>
      <c r="H63" s="23" t="n"/>
      <c r="I63" s="23" t="n"/>
      <c r="J63" s="22" t="n"/>
      <c r="K63" s="10" t="inlineStr">
        <is>
          <t>7 章 リスク No.8</t>
        </is>
      </c>
      <c r="L63" s="23" t="n"/>
      <c r="M63" s="22" t="n"/>
    </row>
    <row r="64" ht="17.5" customHeight="1">
      <c r="D64" s="10" t="inlineStr">
        <is>
          <t>deferred_segment_creation</t>
        </is>
      </c>
      <c r="E64" s="23" t="n"/>
      <c r="F64" s="22" t="n"/>
      <c r="G64" s="10" t="inlineStr">
        <is>
          <r>
            <rPr>
              <rFont val="ＭＳ Ｐゴシック"/>
              <color rgb="00000000"/>
              <sz val="10"/>
            </rPr>
            <t>FALSE（現行と合わせる）</t>
          </r>
          <r>
            <rPr>
              <rFont val="ＭＳ Ｐゴシック"/>
              <b val="1"/>
              <color rgb="00FF0000"/>
              <sz val="10"/>
            </rPr>
            <t>【要確認】</t>
          </r>
        </is>
      </c>
      <c r="H64" s="23" t="n"/>
      <c r="I64" s="23" t="n"/>
      <c r="J64" s="22" t="n"/>
      <c r="K64" s="10" t="inlineStr">
        <is>
          <t>Data Pump の空表の扱いに影響</t>
        </is>
      </c>
      <c r="L64" s="23" t="n"/>
      <c r="M64" s="22" t="n"/>
    </row>
    <row r="65" ht="17.5" customHeight="1">
      <c r="D65" s="10" t="inlineStr">
        <is>
          <t>recyclebin</t>
        </is>
      </c>
      <c r="E65" s="23" t="n"/>
      <c r="F65" s="22" t="n"/>
      <c r="G65" s="10" t="inlineStr">
        <is>
          <t>現行値</t>
        </is>
      </c>
      <c r="H65" s="23" t="n"/>
      <c r="I65" s="23" t="n"/>
      <c r="J65" s="22" t="n"/>
      <c r="K65" s="10" t="inlineStr">
        <is>
          <t>TRUNCATE／DROP 運用に影響</t>
        </is>
      </c>
      <c r="L65" s="23" t="n"/>
      <c r="M65" s="22" t="n"/>
    </row>
    <row r="66" ht="31" customHeight="1">
      <c r="D66" s="10" t="inlineStr">
        <is>
          <t>sqlnetora.sqlnet.allowed_logon_version_server</t>
        </is>
      </c>
      <c r="E66" s="23" t="n"/>
      <c r="F66" s="22" t="n"/>
      <c r="G66" s="10" t="inlineStr">
        <is>
          <r>
            <rPr>
              <rFont val="ＭＳ Ｐゴシック"/>
              <color rgb="00000000"/>
              <sz val="10"/>
            </rPr>
            <t>11（11g パスワードバージョンのユーザを使用する場合）</t>
          </r>
          <r>
            <rPr>
              <rFont val="ＭＳ Ｐゴシック"/>
              <b val="1"/>
              <color rgb="00FF0000"/>
              <sz val="10"/>
            </rPr>
            <t>【要確認】</t>
          </r>
        </is>
      </c>
      <c r="H66" s="23" t="n"/>
      <c r="I66" s="23" t="n"/>
      <c r="J66" s="22" t="n"/>
      <c r="K66" s="10" t="inlineStr">
        <is>
          <t>19c 既定は 12。移行後にパスワードを再設定して 12 に戻すことを推奨</t>
        </is>
      </c>
      <c r="L66" s="23" t="n"/>
      <c r="M66" s="22" t="n"/>
    </row>
    <row r="67" ht="31" customHeight="1">
      <c r="D67" s="10" t="inlineStr">
        <is>
          <t>sqlnetora.sqlnet.encryption_server 等</t>
        </is>
      </c>
      <c r="E67" s="23" t="n"/>
      <c r="F67" s="22" t="n"/>
      <c r="G67" s="10" t="inlineStr">
        <is>
          <t>現行運用に合わせる</t>
        </is>
      </c>
      <c r="H67" s="23" t="n"/>
      <c r="I67" s="23" t="n"/>
      <c r="J67" s="22" t="n"/>
      <c r="K67" s="10" t="inlineStr">
        <is>
          <t>ネイティブ暗号化を使う場合</t>
        </is>
      </c>
      <c r="L67" s="23" t="n"/>
      <c r="M67" s="22" t="n"/>
    </row>
    <row r="68" ht="17.5" customHeight="1">
      <c r="D68" s="10" t="inlineStr">
        <is>
          <t>compatible</t>
        </is>
      </c>
      <c r="E68" s="23" t="n"/>
      <c r="F68" s="22" t="n"/>
      <c r="G68" s="10" t="inlineStr">
        <is>
          <t>19.0.0（RDS 既定）</t>
        </is>
      </c>
      <c r="H68" s="23" t="n"/>
      <c r="I68" s="23" t="n"/>
      <c r="J68" s="22" t="n"/>
      <c r="K68" s="10" t="inlineStr">
        <is>
          <t>変更不可</t>
        </is>
      </c>
      <c r="L68" s="23" t="n"/>
      <c r="M68" s="22" t="n"/>
    </row>
    <row r="69" ht="17.5" customHeight="1">
      <c r="D69" s="10" t="inlineStr">
        <is>
          <t>sga／pga 系</t>
        </is>
      </c>
      <c r="E69" s="23" t="n"/>
      <c r="F69" s="22" t="n"/>
      <c r="G69" s="10" t="inlineStr">
        <is>
          <t>RDS 既定式（インスタンスクラス依存）</t>
        </is>
      </c>
      <c r="H69" s="23" t="n"/>
      <c r="I69" s="23" t="n"/>
      <c r="J69" s="22" t="n"/>
      <c r="K69" s="10" t="inlineStr">
        <is>
          <t>手動設定不要</t>
        </is>
      </c>
      <c r="L69" s="23" t="n"/>
      <c r="M69" s="22" t="n"/>
    </row>
    <row r="70" ht="6" customHeight="1"/>
    <row r="71" ht="18" customHeight="1">
      <c r="C71" s="4" t="inlineStr">
        <is>
          <t>3.2.3. S3 バケット・IAM</t>
        </is>
      </c>
    </row>
    <row r="72" ht="16" customHeight="1">
      <c r="D72" s="21" t="inlineStr">
        <is>
          <t>表 3-5　S3 バケット・IAM の設定</t>
        </is>
      </c>
    </row>
    <row r="73" ht="17.5" customHeight="1">
      <c r="D73" s="8" t="inlineStr">
        <is>
          <t>項目</t>
        </is>
      </c>
      <c r="E73" s="22" t="n"/>
      <c r="F73" s="8" t="inlineStr">
        <is>
          <t>設定</t>
        </is>
      </c>
      <c r="G73" s="23" t="n"/>
      <c r="H73" s="23" t="n"/>
      <c r="I73" s="23" t="n"/>
      <c r="J73" s="22" t="n"/>
      <c r="K73" s="8" t="inlineStr">
        <is>
          <t>備考</t>
        </is>
      </c>
      <c r="L73" s="23" t="n"/>
      <c r="M73" s="22" t="n"/>
    </row>
    <row r="74" ht="31" customHeight="1">
      <c r="D74" s="10" t="inlineStr">
        <is>
          <t>バケット</t>
        </is>
      </c>
      <c r="E74" s="22" t="n"/>
      <c r="F74" s="10" t="inlineStr">
        <is>
          <r>
            <rPr>
              <rFont val="ＭＳ Ｐゴシック"/>
              <color rgb="00000000"/>
              <sz val="10"/>
            </rPr>
            <t>環境ごとに 1 バケット（例：ic-dbmig-honban-&lt;アカウントID&gt;、東京リージョン）</t>
          </r>
          <r>
            <rPr>
              <rFont val="ＭＳ Ｐゴシック"/>
              <b val="1"/>
              <color rgb="00FF0000"/>
              <sz val="10"/>
            </rPr>
            <t>【要確認】</t>
          </r>
        </is>
      </c>
      <c r="G74" s="23" t="n"/>
      <c r="H74" s="23" t="n"/>
      <c r="I74" s="23" t="n"/>
      <c r="J74" s="22" t="n"/>
      <c r="K74" s="10" t="inlineStr">
        <is>
          <t>プレフィックス：full/meta、full/data/batchNN、diff/、logs/</t>
        </is>
      </c>
      <c r="L74" s="23" t="n"/>
      <c r="M74" s="22" t="n"/>
    </row>
    <row r="75" ht="44.5" customHeight="1">
      <c r="D75" s="10" t="inlineStr">
        <is>
          <t>暗号化</t>
        </is>
      </c>
      <c r="E75" s="22" t="n"/>
      <c r="F75" s="10" t="inlineStr">
        <is>
          <t>SSE-KMS（カスタマー管理キー）。バケットキー有効</t>
        </is>
      </c>
      <c r="G75" s="23" t="n"/>
      <c r="H75" s="23" t="n"/>
      <c r="I75" s="23" t="n"/>
      <c r="J75" s="22" t="n"/>
      <c r="K75" s="10" t="inlineStr">
        <is>
          <t>RDS 用ロール・新サーバ用ロールに kms:Encrypt／Decrypt／GenerateDataKey を許可</t>
        </is>
      </c>
      <c r="L75" s="23" t="n"/>
      <c r="M75" s="22" t="n"/>
    </row>
    <row r="76" ht="44.5" customHeight="1">
      <c r="D76" s="10" t="inlineStr">
        <is>
          <t>アクセス制御</t>
        </is>
      </c>
      <c r="E76" s="22" t="n"/>
      <c r="F76" s="10" t="inlineStr">
        <is>
          <t>パブリックアクセスブロック 全有効、バケットポリシーで新 AP/API サーバのインスタンスロールと RDS の S3 統合ロールのみ許可、TLS 必須（aws:SecureTransport）</t>
        </is>
      </c>
      <c r="G76" s="23" t="n"/>
      <c r="H76" s="23" t="n"/>
      <c r="I76" s="23" t="n"/>
      <c r="J76" s="22" t="n"/>
      <c r="K76" s="10" t="inlineStr"/>
      <c r="L76" s="23" t="n"/>
      <c r="M76" s="22" t="n"/>
    </row>
    <row r="77" ht="31" customHeight="1">
      <c r="D77" s="10" t="inlineStr">
        <is>
          <t>バージョニング／ライフサイクル</t>
        </is>
      </c>
      <c r="E77" s="22" t="n"/>
      <c r="F77" s="10" t="inlineStr">
        <is>
          <t>バージョニング 無効。ライフサイクル：30 日で削除（移行完了・切戻し期間終了後に手動削除も実施）</t>
        </is>
      </c>
      <c r="G77" s="23" t="n"/>
      <c r="H77" s="23" t="n"/>
      <c r="I77" s="23" t="n"/>
      <c r="J77" s="22" t="n"/>
      <c r="K77" s="10" t="inlineStr">
        <is>
          <t>9 章</t>
        </is>
      </c>
      <c r="L77" s="23" t="n"/>
      <c r="M77" s="22" t="n"/>
    </row>
    <row r="78" ht="17.5" customHeight="1">
      <c r="D78" s="10" t="inlineStr">
        <is>
          <t>ログ</t>
        </is>
      </c>
      <c r="E78" s="22" t="n"/>
      <c r="F78" s="10" t="inlineStr">
        <is>
          <t>S3 サーバアクセスログ または CloudTrail データイベント</t>
        </is>
      </c>
      <c r="G78" s="23" t="n"/>
      <c r="H78" s="23" t="n"/>
      <c r="I78" s="23" t="n"/>
      <c r="J78" s="22" t="n"/>
      <c r="K78" s="10" t="inlineStr">
        <is>
          <t>監査用</t>
        </is>
      </c>
      <c r="L78" s="23" t="n"/>
      <c r="M78" s="22" t="n"/>
    </row>
    <row r="79" ht="44.5" customHeight="1">
      <c r="D79" s="10" t="inlineStr">
        <is>
          <t>IAM ロール（RDS 用）</t>
        </is>
      </c>
      <c r="E79" s="22" t="n"/>
      <c r="F79" s="10" t="inlineStr">
        <is>
          <t>rds-s3-integration-role-&lt;env&gt;：信頼ポリシー rds.amazonaws.com。権限：s3:ListBucket、GetObject、PutObject、DeleteObject（移行用バケットに限定）＋ KMS</t>
        </is>
      </c>
      <c r="G79" s="23" t="n"/>
      <c r="H79" s="23" t="n"/>
      <c r="I79" s="23" t="n"/>
      <c r="J79" s="22" t="n"/>
      <c r="K79" s="10" t="inlineStr">
        <is>
          <t>aws rds add-role-to-db-instance --feature-name S3_INTEGRATION で関連付け</t>
        </is>
      </c>
      <c r="L79" s="23" t="n"/>
      <c r="M79" s="22" t="n"/>
    </row>
    <row r="80" ht="31" customHeight="1">
      <c r="D80" s="10" t="inlineStr">
        <is>
          <t>IAM ロール（新 AP/API サーバ用）</t>
        </is>
      </c>
      <c r="E80" s="22" t="n"/>
      <c r="F80" s="10" t="inlineStr">
        <is>
          <t>EC2 インスタンスプロファイルに s3:ListBucket、PutObject、GetObject、DeleteObject（移行用バケット）＋ KMS を付与</t>
        </is>
      </c>
      <c r="G80" s="23" t="n"/>
      <c r="H80" s="23" t="n"/>
      <c r="I80" s="23" t="n"/>
      <c r="J80" s="22" t="n"/>
      <c r="K80" s="10" t="inlineStr">
        <is>
          <t>既存ロールへの権限追加。移行後に削除（9 章）</t>
        </is>
      </c>
      <c r="L80" s="23" t="n"/>
      <c r="M80" s="22" t="n"/>
    </row>
    <row r="81" ht="31" customHeight="1">
      <c r="D81" s="10" t="inlineStr">
        <is>
          <t>S3 Gateway エンドポイント</t>
        </is>
      </c>
      <c r="E81" s="22" t="n"/>
      <c r="F81" s="10" t="inlineStr">
        <is>
          <t>移行後 VPC に作成し、新 AP/API サーバおよび RDS のサブネットのルートテーブルへ関連付け</t>
        </is>
      </c>
      <c r="G81" s="23" t="n"/>
      <c r="H81" s="23" t="n"/>
      <c r="I81" s="23" t="n"/>
      <c r="J81" s="22" t="n"/>
      <c r="K81" s="10" t="inlineStr">
        <is>
          <t>インターネット経由を避け、転送を高速・安定化</t>
        </is>
      </c>
      <c r="L81" s="23" t="n"/>
      <c r="M81" s="22" t="n"/>
    </row>
    <row r="82" ht="6" customHeight="1"/>
    <row r="83" ht="18" customHeight="1">
      <c r="C83" s="4" t="inlineStr">
        <is>
          <t>3.2.4. ネットワーク設定</t>
        </is>
      </c>
    </row>
    <row r="84" ht="16" customHeight="1">
      <c r="D84" s="21" t="inlineStr">
        <is>
          <t>表 3-6　ネットワーク設定</t>
        </is>
      </c>
    </row>
    <row r="85" ht="17.5" customHeight="1">
      <c r="D85" s="8" t="inlineStr">
        <is>
          <t>項目</t>
        </is>
      </c>
      <c r="E85" s="22" t="n"/>
      <c r="F85" s="8" t="inlineStr">
        <is>
          <t>設定</t>
        </is>
      </c>
      <c r="G85" s="23" t="n"/>
      <c r="H85" s="23" t="n"/>
      <c r="I85" s="23" t="n"/>
      <c r="J85" s="22" t="n"/>
      <c r="K85" s="8" t="inlineStr">
        <is>
          <t>備考</t>
        </is>
      </c>
      <c r="L85" s="23" t="n"/>
      <c r="M85" s="22" t="n"/>
    </row>
    <row r="86" ht="31" customHeight="1">
      <c r="D86" s="10" t="inlineStr">
        <is>
          <t>VPC Peering</t>
        </is>
      </c>
      <c r="E86" s="22" t="n"/>
      <c r="F86" s="10" t="inlineStr">
        <is>
          <r>
            <rPr>
              <rFont val="ＭＳ Ｐゴシック"/>
              <color rgb="00000000"/>
              <sz val="10"/>
            </rPr>
            <t>現行 VPC ↔ 移行後 VPC。既存の Peering がない場合は新規作成し、双方のルートテーブルに相手 CIDR を追加</t>
          </r>
          <r>
            <rPr>
              <rFont val="ＭＳ Ｐゴシック"/>
              <b val="1"/>
              <color rgb="00FF0000"/>
              <sz val="10"/>
            </rPr>
            <t>【要確認】</t>
          </r>
        </is>
      </c>
      <c r="G86" s="23" t="n"/>
      <c r="H86" s="23" t="n"/>
      <c r="I86" s="23" t="n"/>
      <c r="J86" s="22" t="n"/>
      <c r="K86" s="10" t="inlineStr">
        <is>
          <t>CIDR の重複がないこと</t>
        </is>
      </c>
      <c r="L86" s="23" t="n"/>
      <c r="M86" s="22" t="n"/>
    </row>
    <row r="87" ht="31" customHeight="1">
      <c r="D87" s="10" t="inlineStr">
        <is>
          <t>SG（現行 DB サーバ）</t>
        </is>
      </c>
      <c r="E87" s="22" t="n"/>
      <c r="F87" s="10" t="inlineStr">
        <is>
          <t>インバウンド TCP 22 を新 AP/API サーバのプライベート IP（/32）から許可（移行期間のみ）</t>
        </is>
      </c>
      <c r="G87" s="23" t="n"/>
      <c r="H87" s="23" t="n"/>
      <c r="I87" s="23" t="n"/>
      <c r="J87" s="22" t="n"/>
      <c r="K87" s="10" t="inlineStr">
        <is>
          <t>移行後に削除</t>
        </is>
      </c>
      <c r="L87" s="23" t="n"/>
      <c r="M87" s="22" t="n"/>
    </row>
    <row r="88" ht="31" customHeight="1">
      <c r="D88" s="10" t="inlineStr">
        <is>
          <t>SG（新 AP/API サーバ）</t>
        </is>
      </c>
      <c r="E88" s="22" t="n"/>
      <c r="F88" s="10" t="inlineStr">
        <is>
          <t>アウトバウンド TCP 22（現行 DB サーバ）、TCP 1521（RDS）、TCP 443（S3 エンドポイント）</t>
        </is>
      </c>
      <c r="G88" s="23" t="n"/>
      <c r="H88" s="23" t="n"/>
      <c r="I88" s="23" t="n"/>
      <c r="J88" s="22" t="n"/>
      <c r="K88" s="10" t="inlineStr"/>
      <c r="L88" s="23" t="n"/>
      <c r="M88" s="22" t="n"/>
    </row>
    <row r="89" ht="31" customHeight="1">
      <c r="D89" s="10" t="inlineStr">
        <is>
          <t>SG（RDS）</t>
        </is>
      </c>
      <c r="E89" s="22" t="n"/>
      <c r="F89" s="10" t="inlineStr">
        <is>
          <t>インバウンド TCP 1521 を新 AP/API サーバ SG・Data Loader サーバ SG から許可</t>
        </is>
      </c>
      <c r="G89" s="23" t="n"/>
      <c r="H89" s="23" t="n"/>
      <c r="I89" s="23" t="n"/>
      <c r="J89" s="22" t="n"/>
      <c r="K89" s="10" t="inlineStr">
        <is>
          <t>移行後も継続</t>
        </is>
      </c>
      <c r="L89" s="23" t="n"/>
      <c r="M89" s="22" t="n"/>
    </row>
    <row r="90" ht="17.5" customHeight="1">
      <c r="D90" s="10" t="inlineStr">
        <is>
          <t>NACL</t>
        </is>
      </c>
      <c r="E90" s="22" t="n"/>
      <c r="F90" s="10" t="inlineStr">
        <is>
          <t>上記通信を拒否していないことを確認</t>
        </is>
      </c>
      <c r="G90" s="23" t="n"/>
      <c r="H90" s="23" t="n"/>
      <c r="I90" s="23" t="n"/>
      <c r="J90" s="22" t="n"/>
      <c r="K90" s="10" t="inlineStr"/>
      <c r="L90" s="23" t="n"/>
      <c r="M90" s="22" t="n"/>
    </row>
    <row r="91" ht="58" customHeight="1">
      <c r="D91" s="10" t="inlineStr">
        <is>
          <t>ssh 互換性</t>
        </is>
      </c>
      <c r="E91" s="22" t="n"/>
      <c r="F91" s="10" t="inlineStr">
        <is>
          <t>RHEL 9 から RHEL 5.4 へ接続するため、RHEL 9 側で一時的に LEGACY 暗号ポリシー（update-crypto-policies --set LEGACY）または ssh オプション（-oHostKeyAlgorithms=+ssh-rsa 等）を使用。移行後に DEFAULT へ戻す</t>
        </is>
      </c>
      <c r="G91" s="23" t="n"/>
      <c r="H91" s="23" t="n"/>
      <c r="I91" s="23" t="n"/>
      <c r="J91" s="22" t="n"/>
      <c r="K91" s="10" t="inlineStr">
        <is>
          <t>7 章 リスク No.12。事前に接続テストを実施</t>
        </is>
      </c>
      <c r="L91" s="23" t="n"/>
      <c r="M91" s="22" t="n"/>
    </row>
    <row r="92" ht="31" customHeight="1">
      <c r="D92" s="10" t="inlineStr">
        <is>
          <t>帯域</t>
        </is>
      </c>
      <c r="E92" s="22" t="n"/>
      <c r="F92" s="10" t="inlineStr">
        <is>
          <t>EC2 の帯域（m6i.4xlarge：最大 12.5Gbps）。同一リージョン内 Peering の追加料金（データ転送）を見込む</t>
        </is>
      </c>
      <c r="G92" s="23" t="n"/>
      <c r="H92" s="23" t="n"/>
      <c r="I92" s="23" t="n"/>
      <c r="J92" s="22" t="n"/>
      <c r="K92" s="10" t="inlineStr">
        <is>
          <t>1.3TB × 往路 1 回＋差分</t>
        </is>
      </c>
      <c r="L92" s="23" t="n"/>
      <c r="M92" s="22" t="n"/>
    </row>
    <row r="93" ht="6" customHeight="1"/>
    <row r="94" ht="20" customHeight="1">
      <c r="B94" s="19" t="inlineStr">
        <is>
          <t>3.3. 現行側・新サーバ側の準備</t>
        </is>
      </c>
      <c r="C94" s="20" t="n"/>
      <c r="D94" s="20" t="n"/>
      <c r="E94" s="20" t="n"/>
      <c r="F94" s="20" t="n"/>
      <c r="G94" s="20" t="n"/>
      <c r="H94" s="20" t="n"/>
      <c r="I94" s="20" t="n"/>
      <c r="J94" s="20" t="n"/>
      <c r="K94" s="20" t="n"/>
      <c r="L94" s="20" t="n"/>
      <c r="M94" s="20" t="n"/>
    </row>
    <row r="95" ht="16" customHeight="1">
      <c r="D95" s="21" t="inlineStr">
        <is>
          <t>表 3-7　現行 DB サーバ（EC2 RHEL 5.4）の準備</t>
        </is>
      </c>
    </row>
    <row r="96" ht="17.5" customHeight="1">
      <c r="D96" s="8" t="inlineStr">
        <is>
          <t>No</t>
        </is>
      </c>
      <c r="E96" s="8" t="inlineStr">
        <is>
          <t>作業</t>
        </is>
      </c>
      <c r="F96" s="22" t="n"/>
      <c r="G96" s="8" t="inlineStr">
        <is>
          <t>内容</t>
        </is>
      </c>
      <c r="H96" s="23" t="n"/>
      <c r="I96" s="23" t="n"/>
      <c r="J96" s="23" t="n"/>
      <c r="K96" s="22" t="n"/>
      <c r="L96" s="8" t="inlineStr">
        <is>
          <t>備考</t>
        </is>
      </c>
      <c r="M96" s="22" t="n"/>
    </row>
    <row r="97" ht="71.5" customHeight="1">
      <c r="D97" s="24" t="inlineStr">
        <is>
          <t>1</t>
        </is>
      </c>
      <c r="E97" s="10" t="inlineStr">
        <is>
          <t>一時 EBS の追加</t>
        </is>
      </c>
      <c r="F97" s="22" t="n"/>
      <c r="G97" s="10" t="inlineStr">
        <is>
          <t>gp3 2TB（暗号化）を作成し現行 EC2 にアタッチ。ext3 でフォーマットし /dpump にマウント（RHEL 5.4 は ext4 が技術プレビューのため ext3）。owner oracle:oinstall、権限 750</t>
        </is>
      </c>
      <c r="H97" s="23" t="n"/>
      <c r="I97" s="23" t="n"/>
      <c r="J97" s="23" t="n"/>
      <c r="K97" s="22" t="n"/>
      <c r="L97" s="10" t="inlineStr">
        <is>
          <r>
            <rPr>
              <rFont val="ＭＳ Ｐゴシック"/>
              <color rgb="00000000"/>
              <sz val="10"/>
            </rPr>
            <t>ext3 の 1 ファイル上限 2TB に対し FILESIZE=20G で分割するため問題なし。旧カーネルでのデバイス認識は事前テスト</t>
          </r>
          <r>
            <rPr>
              <rFont val="ＭＳ Ｐゴシック"/>
              <b val="1"/>
              <color rgb="00FF0000"/>
              <sz val="10"/>
            </rPr>
            <t>【要確認】</t>
          </r>
        </is>
      </c>
      <c r="M97" s="22" t="n"/>
    </row>
    <row r="98" ht="31" customHeight="1">
      <c r="D98" s="24" t="inlineStr">
        <is>
          <t>2</t>
        </is>
      </c>
      <c r="E98" s="10" t="inlineStr">
        <is>
          <t>ディレクトリオブジェクト作成</t>
        </is>
      </c>
      <c r="F98" s="22" t="n"/>
      <c r="G98" s="10" t="inlineStr">
        <is>
          <t>CREATE DIRECTORY DPUMP_MIG AS '/dpump'; 移行作業ユーザに READ／WRITE 付与（付録A A-2）</t>
        </is>
      </c>
      <c r="H98" s="23" t="n"/>
      <c r="I98" s="23" t="n"/>
      <c r="J98" s="23" t="n"/>
      <c r="K98" s="22" t="n"/>
      <c r="L98" s="10" t="inlineStr"/>
      <c r="M98" s="22" t="n"/>
    </row>
    <row r="99" ht="31" customHeight="1">
      <c r="D99" s="24" t="inlineStr">
        <is>
          <t>3</t>
        </is>
      </c>
      <c r="E99" s="10" t="inlineStr">
        <is>
          <t>移行作業用 DB ユーザ</t>
        </is>
      </c>
      <c r="F99" s="22" t="n"/>
      <c r="G99" s="10" t="inlineStr">
        <is>
          <t>DATAPUMP_EXP_FULL_DATABASE ロール等を持つ作業ユーザ（例：MIGADMIN）を作成し、作業後に削除</t>
        </is>
      </c>
      <c r="H99" s="23" t="n"/>
      <c r="I99" s="23" t="n"/>
      <c r="J99" s="23" t="n"/>
      <c r="K99" s="22" t="n"/>
      <c r="L99" s="10" t="inlineStr">
        <is>
          <t>SYS での expdp は避ける</t>
        </is>
      </c>
      <c r="M99" s="22" t="n"/>
    </row>
    <row r="100" ht="31" customHeight="1">
      <c r="D100" s="24" t="inlineStr">
        <is>
          <t>4</t>
        </is>
      </c>
      <c r="E100" s="10" t="inlineStr">
        <is>
          <t>UNDO 設定</t>
        </is>
      </c>
      <c r="F100" s="22" t="n"/>
      <c r="G100" s="10" t="inlineStr">
        <is>
          <r>
            <rPr>
              <rFont val="ＭＳ Ｐゴシック"/>
              <color rgb="00000000"/>
              <sz val="10"/>
            </rPr>
            <t>undo_retention を全量エクスポート所要時間以上（例：86400 秒）に設定し、UNDO 表領域の空きを確保</t>
          </r>
          <r>
            <rPr>
              <rFont val="ＭＳ Ｐゴシック"/>
              <b val="1"/>
              <color rgb="00FF0000"/>
              <sz val="10"/>
            </rPr>
            <t>【要確認】</t>
          </r>
        </is>
      </c>
      <c r="H100" s="23" t="n"/>
      <c r="I100" s="23" t="n"/>
      <c r="J100" s="23" t="n"/>
      <c r="K100" s="22" t="n"/>
      <c r="L100" s="10" t="inlineStr">
        <is>
          <t>ORA-01555 対策。初期全量移行後に元へ戻す</t>
        </is>
      </c>
      <c r="M100" s="22" t="n"/>
    </row>
    <row r="101" ht="31" customHeight="1">
      <c r="D101" s="24" t="inlineStr">
        <is>
          <t>5</t>
        </is>
      </c>
      <c r="E101" s="10" t="inlineStr">
        <is>
          <t>rsync／ssh 準備</t>
        </is>
      </c>
      <c r="F101" s="22" t="n"/>
      <c r="G101" s="10" t="inlineStr">
        <is>
          <t>rsync の導入確認、新 AP/API サーバの公開鍵を作業ユーザに登録（鍵は移行期間のみ）</t>
        </is>
      </c>
      <c r="H101" s="23" t="n"/>
      <c r="I101" s="23" t="n"/>
      <c r="J101" s="23" t="n"/>
      <c r="K101" s="22" t="n"/>
      <c r="L101" s="10" t="inlineStr"/>
      <c r="M101" s="22" t="n"/>
    </row>
    <row r="102" ht="31" customHeight="1">
      <c r="D102" s="24" t="inlineStr">
        <is>
          <t>6</t>
        </is>
      </c>
      <c r="E102" s="10" t="inlineStr">
        <is>
          <t>統計情報・無効オブジェクトの記録</t>
        </is>
      </c>
      <c r="F102" s="22" t="n"/>
      <c r="G102" s="10" t="inlineStr">
        <is>
          <t>移行直前の統計取得日・無効オブジェクト一覧を保存</t>
        </is>
      </c>
      <c r="H102" s="23" t="n"/>
      <c r="I102" s="23" t="n"/>
      <c r="J102" s="23" t="n"/>
      <c r="K102" s="22" t="n"/>
      <c r="L102" s="10" t="inlineStr">
        <is>
          <t>6.2 の突合基準</t>
        </is>
      </c>
      <c r="M102" s="22" t="n"/>
    </row>
    <row r="103" ht="17.5" customHeight="1">
      <c r="D103" s="24" t="inlineStr">
        <is>
          <t>7</t>
        </is>
      </c>
      <c r="E103" s="10" t="inlineStr">
        <is>
          <t>変更凍結</t>
        </is>
      </c>
      <c r="F103" s="22" t="n"/>
      <c r="G103" s="10" t="inlineStr">
        <is>
          <t>検証期間中の DDL 変更・アプリリリース・パッチ適用を凍結する（8.5）</t>
        </is>
      </c>
      <c r="H103" s="23" t="n"/>
      <c r="I103" s="23" t="n"/>
      <c r="J103" s="23" t="n"/>
      <c r="K103" s="22" t="n"/>
      <c r="L103" s="10" t="inlineStr">
        <is>
          <t>関係者へ周知</t>
        </is>
      </c>
      <c r="M103" s="22" t="n"/>
    </row>
    <row r="104" ht="6" customHeight="1"/>
    <row r="105" ht="16" customHeight="1">
      <c r="D105" s="21" t="inlineStr">
        <is>
          <t>表 3-8　新 AP/API サーバ（EC2 RHEL 9）の準備</t>
        </is>
      </c>
    </row>
    <row r="106" ht="17.5" customHeight="1">
      <c r="D106" s="8" t="inlineStr">
        <is>
          <t>No</t>
        </is>
      </c>
      <c r="E106" s="8" t="inlineStr">
        <is>
          <t>作業</t>
        </is>
      </c>
      <c r="F106" s="22" t="n"/>
      <c r="G106" s="8" t="inlineStr">
        <is>
          <t>内容</t>
        </is>
      </c>
      <c r="H106" s="23" t="n"/>
      <c r="I106" s="23" t="n"/>
      <c r="J106" s="23" t="n"/>
      <c r="K106" s="22" t="n"/>
      <c r="L106" s="8" t="inlineStr">
        <is>
          <t>備考</t>
        </is>
      </c>
      <c r="M106" s="22" t="n"/>
    </row>
    <row r="107" ht="44.5" customHeight="1">
      <c r="D107" s="24" t="inlineStr">
        <is>
          <t>1</t>
        </is>
      </c>
      <c r="E107" s="10" t="inlineStr">
        <is>
          <t>AWS CLI v2 導入</t>
        </is>
      </c>
      <c r="F107" s="22" t="n"/>
      <c r="G107" s="10" t="inlineStr">
        <is>
          <t>公式インストーラで導入し、インスタンスロールで認証。aws s3 ls s3://&lt;移行用バケット&gt;/ で疎通確認。転送設定（multipart_chunksize 64MB、max_concurrent_requests 20）</t>
        </is>
      </c>
      <c r="H107" s="23" t="n"/>
      <c r="I107" s="23" t="n"/>
      <c r="J107" s="23" t="n"/>
      <c r="K107" s="22" t="n"/>
      <c r="L107" s="10" t="inlineStr">
        <is>
          <t>IAM ロールは 3.2.3</t>
        </is>
      </c>
      <c r="M107" s="22" t="n"/>
    </row>
    <row r="108" ht="44.5" customHeight="1">
      <c r="D108" s="24" t="inlineStr">
        <is>
          <t>2</t>
        </is>
      </c>
      <c r="E108" s="10" t="inlineStr">
        <is>
          <t>Oracle Instant Client 19c 導入</t>
        </is>
      </c>
      <c r="F108" s="22" t="n"/>
      <c r="G108" s="10" t="inlineStr">
        <is>
          <t>Basic、SQL*Plus、Tools（impdp／expdp／SQL*Loader）を /opt/oracle/instantclient_19_x に導入。tnsnames.ora（RDS エンドポイント、SERVICE_NAME）を作成し sqlplus で接続確認</t>
        </is>
      </c>
      <c r="H108" s="23" t="n"/>
      <c r="I108" s="23" t="n"/>
      <c r="J108" s="23" t="n"/>
      <c r="K108" s="22" t="n"/>
      <c r="L108" s="10" t="inlineStr">
        <is>
          <t>Tomcat 用 ojdbc8 とは別。バッチ用途で移行後も継続利用</t>
        </is>
      </c>
      <c r="M108" s="22" t="n"/>
    </row>
    <row r="109" ht="31" customHeight="1">
      <c r="D109" s="24" t="inlineStr">
        <is>
          <t>3</t>
        </is>
      </c>
      <c r="E109" s="10" t="inlineStr">
        <is>
          <t>中継領域</t>
        </is>
      </c>
      <c r="F109" s="22" t="n"/>
      <c r="G109" s="10" t="inlineStr">
        <is>
          <r>
            <rPr>
              <rFont val="ＭＳ Ｐゴシック"/>
              <color rgb="00000000"/>
              <sz val="10"/>
            </rPr>
            <t>/disk3/dpump（2TB）を用意（既存 /disk3 300GB では不足のため一時 EBS 2TB を追加）</t>
          </r>
          <r>
            <rPr>
              <rFont val="ＭＳ Ｐゴシック"/>
              <b val="1"/>
              <color rgb="00FF0000"/>
              <sz val="10"/>
            </rPr>
            <t>【要確認】</t>
          </r>
          <r>
            <rPr>
              <rFont val="ＭＳ Ｐゴシック"/>
              <color rgb="00000000"/>
              <sz val="10"/>
            </rPr>
            <t>。owner は移行作業 OS ユーザ</t>
          </r>
        </is>
      </c>
      <c r="H109" s="23" t="n"/>
      <c r="I109" s="23" t="n"/>
      <c r="J109" s="23" t="n"/>
      <c r="K109" s="22" t="n"/>
      <c r="L109" s="10" t="inlineStr">
        <is>
          <t>移行後にデタッチ・削除</t>
        </is>
      </c>
      <c r="M109" s="22" t="n"/>
    </row>
    <row r="110" ht="31" customHeight="1">
      <c r="D110" s="24" t="inlineStr">
        <is>
          <t>4</t>
        </is>
      </c>
      <c r="E110" s="10" t="inlineStr">
        <is>
          <t>ssh 互換設定</t>
        </is>
      </c>
      <c r="F110" s="22" t="n"/>
      <c r="G110" s="10" t="inlineStr">
        <is>
          <t>LEGACY 暗号ポリシー（一時）または ssh_config の Host 単位設定。現行 DB サーバへの ssh・rsync の接続テスト</t>
        </is>
      </c>
      <c r="H110" s="23" t="n"/>
      <c r="I110" s="23" t="n"/>
      <c r="J110" s="23" t="n"/>
      <c r="K110" s="22" t="n"/>
      <c r="L110" s="10" t="inlineStr">
        <is>
          <t>3.2.4</t>
        </is>
      </c>
      <c r="M110" s="22" t="n"/>
    </row>
    <row r="111" ht="31" customHeight="1">
      <c r="D111" s="24" t="inlineStr">
        <is>
          <t>5</t>
        </is>
      </c>
      <c r="E111" s="10" t="inlineStr">
        <is>
          <t>移行スクリプト配置</t>
        </is>
      </c>
      <c r="F111" s="22" t="n"/>
      <c r="G111" s="10" t="inlineStr">
        <is>
          <t>3.4 のスクリプト・パラメータファイルを /disk3/dpump/bin に配置。ログ出力先 /disk3/dpump/log</t>
        </is>
      </c>
      <c r="H111" s="23" t="n"/>
      <c r="I111" s="23" t="n"/>
      <c r="J111" s="23" t="n"/>
      <c r="K111" s="22" t="n"/>
      <c r="L111" s="10" t="inlineStr">
        <is>
          <r>
            <rPr>
              <rFont val="ＭＳ Ｐゴシック"/>
              <color rgb="00000000"/>
              <sz val="10"/>
            </rPr>
            <t>git 管理（sys_renewal リポジトリ）</t>
          </r>
          <r>
            <rPr>
              <rFont val="ＭＳ Ｐゴシック"/>
              <b val="1"/>
              <color rgb="00FF0000"/>
              <sz val="10"/>
            </rPr>
            <t>【要確認】</t>
          </r>
        </is>
      </c>
      <c r="M111" s="22" t="n"/>
    </row>
    <row r="112" ht="31" customHeight="1">
      <c r="D112" s="24" t="inlineStr">
        <is>
          <t>6</t>
        </is>
      </c>
      <c r="E112" s="10" t="inlineStr">
        <is>
          <t>RDS への接続確認</t>
        </is>
      </c>
      <c r="F112" s="22" t="n"/>
      <c r="G112" s="10" t="inlineStr">
        <is>
          <t>sqlplus admin@&lt;RDS&gt;、rdsadmin パッケージの実行確認（rdsadmin.rdsadmin_util.rds_version 等）</t>
        </is>
      </c>
      <c r="H112" s="23" t="n"/>
      <c r="I112" s="23" t="n"/>
      <c r="J112" s="23" t="n"/>
      <c r="K112" s="22" t="n"/>
      <c r="L112" s="10" t="inlineStr"/>
      <c r="M112" s="22" t="n"/>
    </row>
    <row r="113" ht="6" customHeight="1"/>
    <row r="114" ht="16" customHeight="1">
      <c r="D114" s="21" t="inlineStr">
        <is>
          <t>表 3-9　RDS 側の事前作成</t>
        </is>
      </c>
    </row>
    <row r="115" ht="17.5" customHeight="1">
      <c r="D115" s="8" t="inlineStr">
        <is>
          <t>No</t>
        </is>
      </c>
      <c r="E115" s="8" t="inlineStr">
        <is>
          <t>作業</t>
        </is>
      </c>
      <c r="F115" s="22" t="n"/>
      <c r="G115" s="8" t="inlineStr">
        <is>
          <t>内容</t>
        </is>
      </c>
      <c r="H115" s="23" t="n"/>
      <c r="I115" s="23" t="n"/>
      <c r="J115" s="23" t="n"/>
      <c r="K115" s="22" t="n"/>
      <c r="L115" s="8" t="inlineStr">
        <is>
          <t>備考</t>
        </is>
      </c>
      <c r="M115" s="22" t="n"/>
    </row>
    <row r="116" ht="31" customHeight="1">
      <c r="D116" s="24" t="inlineStr">
        <is>
          <t>1</t>
        </is>
      </c>
      <c r="E116" s="10" t="inlineStr">
        <is>
          <t>表領域の作成</t>
        </is>
      </c>
      <c r="F116" s="22" t="n"/>
      <c r="G116" s="10" t="inlineStr">
        <is>
          <t>現行と同名の表領域を作成（BIGFILE、AUTOEXTEND、初期サイズは現行使用量＋余裕）。TEMP は現行サイズ以上</t>
        </is>
      </c>
      <c r="H116" s="23" t="n"/>
      <c r="I116" s="23" t="n"/>
      <c r="J116" s="23" t="n"/>
      <c r="K116" s="22" t="n"/>
      <c r="L116" s="10" t="inlineStr">
        <is>
          <t>Data Pump スキーマモードは表領域を作成しない</t>
        </is>
      </c>
      <c r="M116" s="22" t="n"/>
    </row>
    <row r="117" ht="31" customHeight="1">
      <c r="D117" s="24" t="inlineStr">
        <is>
          <t>2</t>
        </is>
      </c>
      <c r="E117" s="10" t="inlineStr">
        <is>
          <t>プロファイル・ロールの作成</t>
        </is>
      </c>
      <c r="F117" s="22" t="n"/>
      <c r="G117" s="10" t="inlineStr">
        <is>
          <t>現行のプロファイル（パスワード有効期限等）とロールを作成</t>
        </is>
      </c>
      <c r="H117" s="23" t="n"/>
      <c r="I117" s="23" t="n"/>
      <c r="J117" s="23" t="n"/>
      <c r="K117" s="22" t="n"/>
      <c r="L117" s="10" t="inlineStr">
        <is>
          <t>DBA ロールは RDS で付与不可</t>
        </is>
      </c>
      <c r="M117" s="22" t="n"/>
    </row>
    <row r="118" ht="44.5" customHeight="1">
      <c r="D118" s="24" t="inlineStr">
        <is>
          <t>3</t>
        </is>
      </c>
      <c r="E118" s="10" t="inlineStr">
        <is>
          <t>ユーザ（スキーマ）の作成</t>
        </is>
      </c>
      <c r="F118" s="22" t="n"/>
      <c r="G118" s="10" t="inlineStr">
        <is>
          <r>
            <rPr>
              <rFont val="ＭＳ Ｐゴシック"/>
              <color rgb="00000000"/>
              <sz val="10"/>
            </rPr>
            <t>現行と同名のユーザを作成し、デフォルト表領域・QUOTA・ロール・システム権限を付与。パスワードは新規設定（11g のパスワードハッシュは持ち込まない）</t>
          </r>
          <r>
            <rPr>
              <rFont val="ＭＳ Ｐゴシック"/>
              <b val="1"/>
              <color rgb="00FF0000"/>
              <sz val="10"/>
            </rPr>
            <t>【要確認】</t>
          </r>
        </is>
      </c>
      <c r="H118" s="23" t="n"/>
      <c r="I118" s="23" t="n"/>
      <c r="J118" s="23" t="n"/>
      <c r="K118" s="22" t="n"/>
      <c r="L118" s="10" t="inlineStr">
        <is>
          <t>impdp 実行時に「USER already exists（ORA-31684）」は想定内として無視</t>
        </is>
      </c>
      <c r="M118" s="22" t="n"/>
    </row>
    <row r="119" ht="31" customHeight="1">
      <c r="D119" s="24" t="inlineStr">
        <is>
          <t>4</t>
        </is>
      </c>
      <c r="E119" s="10" t="inlineStr">
        <is>
          <t>SYS 所有オブジェクトへの権限</t>
        </is>
      </c>
      <c r="F119" s="22" t="n"/>
      <c r="G119" s="10" t="inlineStr">
        <is>
          <t>rdsadmin.rdsadmin_util.grant_sys_object で必要な SYS オブジェクト（V$ ビュー、DBMS_* パッケージ）への権限を付与</t>
        </is>
      </c>
      <c r="H119" s="23" t="n"/>
      <c r="I119" s="23" t="n"/>
      <c r="J119" s="23" t="n"/>
      <c r="K119" s="22" t="n"/>
      <c r="L119" s="10" t="inlineStr">
        <is>
          <t>事前調査 No.8</t>
        </is>
      </c>
      <c r="M119" s="22" t="n"/>
    </row>
    <row r="120" ht="17.5" customHeight="1">
      <c r="D120" s="24" t="inlineStr">
        <is>
          <t>5</t>
        </is>
      </c>
      <c r="E120" s="10" t="inlineStr">
        <is>
          <t>ステージングスキーマ</t>
        </is>
      </c>
      <c r="F120" s="22" t="n"/>
      <c r="G120" s="10" t="inlineStr">
        <is>
          <t>方式A 用の &lt;スキーマ名&gt;_DIFF ユーザを作成（QUOTA UNLIMITED）</t>
        </is>
      </c>
      <c r="H120" s="23" t="n"/>
      <c r="I120" s="23" t="n"/>
      <c r="J120" s="23" t="n"/>
      <c r="K120" s="22" t="n"/>
      <c r="L120" s="10" t="inlineStr">
        <is>
          <t>切替後に削除</t>
        </is>
      </c>
      <c r="M120" s="22" t="n"/>
    </row>
    <row r="121" ht="31" customHeight="1">
      <c r="D121" s="24" t="inlineStr">
        <is>
          <t>6</t>
        </is>
      </c>
      <c r="E121" s="10" t="inlineStr">
        <is>
          <t>移行作業ユーザ</t>
        </is>
      </c>
      <c r="F121" s="22" t="n"/>
      <c r="G121" s="10" t="inlineStr">
        <is>
          <t>impdp 実行用ユーザ（例：MIGADMIN）に DATAPUMP_IMP_FULL_DATABASE 等を付与。または master ユーザで実施</t>
        </is>
      </c>
      <c r="H121" s="23" t="n"/>
      <c r="I121" s="23" t="n"/>
      <c r="J121" s="23" t="n"/>
      <c r="K121" s="22" t="n"/>
      <c r="L121" s="10" t="inlineStr"/>
      <c r="M121" s="22" t="n"/>
    </row>
    <row r="122" ht="31" customHeight="1">
      <c r="D122" s="24" t="inlineStr">
        <is>
          <t>7</t>
        </is>
      </c>
      <c r="E122" s="10" t="inlineStr">
        <is>
          <t>DATA_PUMP_DIR の確認</t>
        </is>
      </c>
      <c r="F122" s="22" t="n"/>
      <c r="G122" s="10" t="inlineStr">
        <is>
          <t>SELECT * FROM TABLE(rdsadmin.rds_file_util.listdir('DATA_PUMP_DIR')) が空であること</t>
        </is>
      </c>
      <c r="H122" s="23" t="n"/>
      <c r="I122" s="23" t="n"/>
      <c r="J122" s="23" t="n"/>
      <c r="K122" s="22" t="n"/>
      <c r="L122" s="10" t="inlineStr"/>
      <c r="M122" s="22" t="n"/>
    </row>
    <row r="123" ht="44.5" customHeight="1">
      <c r="D123" s="24" t="inlineStr">
        <is>
          <t>8</t>
        </is>
      </c>
      <c r="E123" s="10" t="inlineStr">
        <is>
          <t>ジョブの抑止</t>
        </is>
      </c>
      <c r="F123" s="22" t="n"/>
      <c r="G123" s="10" t="inlineStr">
        <is>
          <r>
            <rPr>
              <rFont val="ＭＳ Ｐゴシック"/>
              <color rgb="00000000"/>
              <sz val="10"/>
            </rPr>
            <t>取込後に登録される DBMS_SCHEDULER ジョブが切替前に動作しないよう、job_queue_processes=0 を検証期間中は設定（または個別 DISABLE）</t>
          </r>
          <r>
            <rPr>
              <rFont val="ＭＳ Ｐゴシック"/>
              <b val="1"/>
              <color rgb="00FF0000"/>
              <sz val="10"/>
            </rPr>
            <t>【要確認】</t>
          </r>
        </is>
      </c>
      <c r="H123" s="23" t="n"/>
      <c r="I123" s="23" t="n"/>
      <c r="J123" s="23" t="n"/>
      <c r="K123" s="22" t="n"/>
      <c r="L123" s="10" t="inlineStr">
        <is>
          <t>5.9 でジョブ有効化</t>
        </is>
      </c>
      <c r="M123" s="22" t="n"/>
    </row>
    <row r="124" ht="6" customHeight="1"/>
    <row r="125" ht="20" customHeight="1">
      <c r="B125" s="19" t="inlineStr">
        <is>
          <t>3.4. 移行スクリプト・パラメータファイルの整備</t>
        </is>
      </c>
      <c r="C125" s="20" t="n"/>
      <c r="D125" s="20" t="n"/>
      <c r="E125" s="20" t="n"/>
      <c r="F125" s="20" t="n"/>
      <c r="G125" s="20" t="n"/>
      <c r="H125" s="20" t="n"/>
      <c r="I125" s="20" t="n"/>
      <c r="J125" s="20" t="n"/>
      <c r="K125" s="20" t="n"/>
      <c r="L125" s="20" t="n"/>
      <c r="M125" s="20" t="n"/>
    </row>
    <row r="126" ht="31" customHeight="1">
      <c r="D126" s="7" t="inlineStr">
        <is>
          <t>手作業によるミスを避けるため、以下のスクリプト・パラメータファイルを整備し、開発環境で動作確認したうえで QA のリハーサルに使用する。コマンド例は付録A。</t>
        </is>
      </c>
    </row>
    <row r="127" ht="16" customHeight="1">
      <c r="D127" s="21" t="inlineStr">
        <is>
          <t>表 3-10　移行スクリプト一覧</t>
        </is>
      </c>
    </row>
    <row r="128" ht="17.5" customHeight="1">
      <c r="D128" s="8" t="inlineStr">
        <is>
          <t>No</t>
        </is>
      </c>
      <c r="E128" s="8" t="inlineStr">
        <is>
          <t>スクリプト／ファイル</t>
        </is>
      </c>
      <c r="F128" s="23" t="n"/>
      <c r="G128" s="22" t="n"/>
      <c r="H128" s="8" t="inlineStr">
        <is>
          <t>実行場所</t>
        </is>
      </c>
      <c r="I128" s="22" t="n"/>
      <c r="J128" s="8" t="inlineStr">
        <is>
          <t>内容</t>
        </is>
      </c>
      <c r="K128" s="23" t="n"/>
      <c r="L128" s="23" t="n"/>
      <c r="M128" s="22" t="n"/>
    </row>
    <row r="129" ht="31" customHeight="1">
      <c r="D129" s="24" t="inlineStr">
        <is>
          <t>1</t>
        </is>
      </c>
      <c r="E129" s="10" t="inlineStr">
        <is>
          <t>exp_full_meta.par</t>
        </is>
      </c>
      <c r="F129" s="23" t="n"/>
      <c r="G129" s="22" t="n"/>
      <c r="H129" s="10" t="inlineStr">
        <is>
          <t>現行</t>
        </is>
      </c>
      <c r="I129" s="22" t="n"/>
      <c r="J129" s="10" t="inlineStr">
        <is>
          <t>メタデータ全量エクスポート（CONTENT=METADATA_ONLY、SCHEMAS、FLASHBACK_SCN）</t>
        </is>
      </c>
      <c r="K129" s="23" t="n"/>
      <c r="L129" s="23" t="n"/>
      <c r="M129" s="22" t="n"/>
    </row>
    <row r="130" ht="44.5" customHeight="1">
      <c r="D130" s="24" t="inlineStr">
        <is>
          <t>2</t>
        </is>
      </c>
      <c r="E130" s="10" t="inlineStr">
        <is>
          <t>exp_full_dataNN.par（バッチごと）</t>
        </is>
      </c>
      <c r="F130" s="23" t="n"/>
      <c r="G130" s="22" t="n"/>
      <c r="H130" s="10" t="inlineStr">
        <is>
          <t>現行</t>
        </is>
      </c>
      <c r="I130" s="22" t="n"/>
      <c r="J130" s="10" t="inlineStr">
        <is>
          <t>データ全量エクスポート（CONTENT=DATA_ONLY、TABLES または SCHEMAS＋EXCLUDE、FLASHBACK_SCN、PARALLEL、FILESIZE=20G）。付録B の取込バッチ割当に従い生成</t>
        </is>
      </c>
      <c r="K130" s="23" t="n"/>
      <c r="L130" s="23" t="n"/>
      <c r="M130" s="22" t="n"/>
    </row>
    <row r="131" ht="31" customHeight="1">
      <c r="D131" s="24" t="inlineStr">
        <is>
          <t>3</t>
        </is>
      </c>
      <c r="E131" s="10" t="inlineStr">
        <is>
          <t>exp_diff_A.par／exp_diff_B.par／exp_seq.par</t>
        </is>
      </c>
      <c r="F131" s="23" t="n"/>
      <c r="G131" s="22" t="n"/>
      <c r="H131" s="10" t="inlineStr">
        <is>
          <t>現行</t>
        </is>
      </c>
      <c r="I131" s="22" t="n"/>
      <c r="J131" s="10" t="inlineStr">
        <is>
          <t>差分エクスポート（方式A：QUERY 付き、方式B：TABLES、シーケンス：INCLUDE=SEQUENCE）</t>
        </is>
      </c>
      <c r="K131" s="23" t="n"/>
      <c r="L131" s="23" t="n"/>
      <c r="M131" s="22" t="n"/>
    </row>
    <row r="132" ht="17.5" customHeight="1">
      <c r="D132" s="24" t="inlineStr">
        <is>
          <t>4</t>
        </is>
      </c>
      <c r="E132" s="10" t="inlineStr">
        <is>
          <t>get_scn.sql</t>
        </is>
      </c>
      <c r="F132" s="23" t="n"/>
      <c r="G132" s="22" t="n"/>
      <c r="H132" s="10" t="inlineStr">
        <is>
          <t>現行</t>
        </is>
      </c>
      <c r="I132" s="22" t="n"/>
      <c r="J132" s="10" t="inlineStr">
        <is>
          <t>SCN・時刻の取得と記録（S0／T0／S1）</t>
        </is>
      </c>
      <c r="K132" s="23" t="n"/>
      <c r="L132" s="23" t="n"/>
      <c r="M132" s="22" t="n"/>
    </row>
    <row r="133" ht="17.5" customHeight="1">
      <c r="D133" s="24" t="inlineStr">
        <is>
          <t>5</t>
        </is>
      </c>
      <c r="E133" s="10" t="inlineStr">
        <is>
          <t>checksum.sh</t>
        </is>
      </c>
      <c r="F133" s="23" t="n"/>
      <c r="G133" s="22" t="n"/>
      <c r="H133" s="10" t="inlineStr">
        <is>
          <t>現行／新サーバ</t>
        </is>
      </c>
      <c r="I133" s="22" t="n"/>
      <c r="J133" s="10" t="inlineStr">
        <is>
          <t>sha256sum によるマニフェスト作成・照合</t>
        </is>
      </c>
      <c r="K133" s="23" t="n"/>
      <c r="L133" s="23" t="n"/>
      <c r="M133" s="22" t="n"/>
    </row>
    <row r="134" ht="44.5" customHeight="1">
      <c r="D134" s="24" t="inlineStr">
        <is>
          <t>6</t>
        </is>
      </c>
      <c r="E134" s="10" t="inlineStr">
        <is>
          <t>pull_and_upload.sh</t>
        </is>
      </c>
      <c r="F134" s="23" t="n"/>
      <c r="G134" s="22" t="n"/>
      <c r="H134" s="10" t="inlineStr">
        <is>
          <t>新サーバ</t>
        </is>
      </c>
      <c r="I134" s="22" t="n"/>
      <c r="J134" s="10" t="inlineStr">
        <is>
          <t>rsync（--partial --append-verify）で取得 → チェックサム照合 → aws s3 cp（--checksum-algorithm SHA256、SSE-KMS）→ S3 側サイズ・件数照合</t>
        </is>
      </c>
      <c r="K134" s="23" t="n"/>
      <c r="L134" s="23" t="n"/>
      <c r="M134" s="22" t="n"/>
    </row>
    <row r="135" ht="31" customHeight="1">
      <c r="D135" s="24" t="inlineStr">
        <is>
          <t>7</t>
        </is>
      </c>
      <c r="E135" s="10" t="inlineStr">
        <is>
          <t>rds_download.sql</t>
        </is>
      </c>
      <c r="F135" s="23" t="n"/>
      <c r="G135" s="22" t="n"/>
      <c r="H135" s="10" t="inlineStr">
        <is>
          <t>RDS</t>
        </is>
      </c>
      <c r="I135" s="22" t="n"/>
      <c r="J135" s="10" t="inlineStr">
        <is>
          <t>rdsadmin_s3_tasks.download_from_s3（プレフィックス指定）→ タスクログ監視 → listdir 照合</t>
        </is>
      </c>
      <c r="K135" s="23" t="n"/>
      <c r="L135" s="23" t="n"/>
      <c r="M135" s="22" t="n"/>
    </row>
    <row r="136" ht="31" customHeight="1">
      <c r="D136" s="24" t="inlineStr">
        <is>
          <t>8</t>
        </is>
      </c>
      <c r="E136" s="10" t="inlineStr">
        <is>
          <t>imp_meta_pre.par／imp_dataNN.par／imp_meta_post.par</t>
        </is>
      </c>
      <c r="F136" s="23" t="n"/>
      <c r="G136" s="22" t="n"/>
      <c r="H136" s="10" t="inlineStr">
        <is>
          <t>新サーバ（impdp→RDS）</t>
        </is>
      </c>
      <c r="I136" s="22" t="n"/>
      <c r="J136" s="10" t="inlineStr">
        <is>
          <t>メタデータ（索引・制約・トリガー除く）→ データ（バッチ）→ 索引・制約・トリガー</t>
        </is>
      </c>
      <c r="K136" s="23" t="n"/>
      <c r="L136" s="23" t="n"/>
      <c r="M136" s="22" t="n"/>
    </row>
    <row r="137" ht="31" customHeight="1">
      <c r="D137" s="24" t="inlineStr">
        <is>
          <t>9</t>
        </is>
      </c>
      <c r="E137" s="10" t="inlineStr">
        <is>
          <t>rds_cleanup.sql</t>
        </is>
      </c>
      <c r="F137" s="23" t="n"/>
      <c r="G137" s="22" t="n"/>
      <c r="H137" s="10" t="inlineStr">
        <is>
          <t>RDS</t>
        </is>
      </c>
      <c r="I137" s="22" t="n"/>
      <c r="J137" s="10" t="inlineStr">
        <is>
          <t>UTL_FILE.FREMOVE による DATA_PUMP_DIR のファイル削除と空き容量確認</t>
        </is>
      </c>
      <c r="K137" s="23" t="n"/>
      <c r="L137" s="23" t="n"/>
      <c r="M137" s="22" t="n"/>
    </row>
    <row r="138" ht="31" customHeight="1">
      <c r="D138" s="24" t="inlineStr">
        <is>
          <t>10</t>
        </is>
      </c>
      <c r="E138" s="10" t="inlineStr">
        <is>
          <t>post_process.sql</t>
        </is>
      </c>
      <c r="F138" s="23" t="n"/>
      <c r="G138" s="22" t="n"/>
      <c r="H138" s="10" t="inlineStr">
        <is>
          <t>RDS</t>
        </is>
      </c>
      <c r="I138" s="22" t="n"/>
      <c r="J138" s="10" t="inlineStr">
        <is>
          <t>再コンパイル（UTL_RECOMP）、統計取得、制約・索引状態確認、シーケンス確認</t>
        </is>
      </c>
      <c r="K138" s="23" t="n"/>
      <c r="L138" s="23" t="n"/>
      <c r="M138" s="22" t="n"/>
    </row>
    <row r="139" ht="31" customHeight="1">
      <c r="D139" s="24" t="inlineStr">
        <is>
          <t>11</t>
        </is>
      </c>
      <c r="E139" s="10" t="inlineStr">
        <is>
          <t>diff_B_load.sql／diff_A_merge.sql</t>
        </is>
      </c>
      <c r="F139" s="23" t="n"/>
      <c r="G139" s="22" t="n"/>
      <c r="H139" s="10" t="inlineStr">
        <is>
          <t>RDS</t>
        </is>
      </c>
      <c r="I139" s="22" t="n"/>
      <c r="J139" s="10" t="inlineStr">
        <is>
          <t>方式B：FK・トリガー無効化→取込→有効化。方式A：主キーから MERGE 文を生成・実行（付録A A-14）</t>
        </is>
      </c>
      <c r="K139" s="23" t="n"/>
      <c r="L139" s="23" t="n"/>
      <c r="M139" s="22" t="n"/>
    </row>
    <row r="140" ht="17.5" customHeight="1">
      <c r="D140" s="24" t="inlineStr">
        <is>
          <t>12</t>
        </is>
      </c>
      <c r="E140" s="10" t="inlineStr">
        <is>
          <t>seq_sync.sql</t>
        </is>
      </c>
      <c r="F140" s="23" t="n"/>
      <c r="G140" s="22" t="n"/>
      <c r="H140" s="10" t="inlineStr">
        <is>
          <t>RDS</t>
        </is>
      </c>
      <c r="I140" s="22" t="n"/>
      <c r="J140" s="10" t="inlineStr">
        <is>
          <t>シーケンス現在値の同期</t>
        </is>
      </c>
      <c r="K140" s="23" t="n"/>
      <c r="L140" s="23" t="n"/>
      <c r="M140" s="22" t="n"/>
    </row>
    <row r="141" ht="31" customHeight="1">
      <c r="D141" s="24" t="inlineStr">
        <is>
          <t>13</t>
        </is>
      </c>
      <c r="E141" s="10" t="inlineStr">
        <is>
          <t>verify_counts.sql／verify_hash.sql／verify_objects.sql</t>
        </is>
      </c>
      <c r="F141" s="23" t="n"/>
      <c r="G141" s="22" t="n"/>
      <c r="H141" s="10" t="inlineStr">
        <is>
          <t>現行／RDS</t>
        </is>
      </c>
      <c r="I141" s="22" t="n"/>
      <c r="J141" s="10" t="inlineStr">
        <is>
          <t>件数・ハッシュ・オブジェクト数の取得と突合（結果を CSV 出力し Excel で比較）</t>
        </is>
      </c>
      <c r="K141" s="23" t="n"/>
      <c r="L141" s="23" t="n"/>
      <c r="M141" s="22" t="n"/>
    </row>
    <row r="142" ht="17.5" customHeight="1">
      <c r="D142" s="24" t="inlineStr">
        <is>
          <t>14</t>
        </is>
      </c>
      <c r="E142" s="10" t="inlineStr">
        <is>
          <t>rds_restore.sh</t>
        </is>
      </c>
      <c r="F142" s="23" t="n"/>
      <c r="G142" s="22" t="n"/>
      <c r="H142" s="10" t="inlineStr">
        <is>
          <t>新サーバ（AWS CLI）</t>
        </is>
      </c>
      <c r="I142" s="22" t="n"/>
      <c r="J142" s="10" t="inlineStr">
        <is>
          <t>識別子の付替えと基点スナップショットからの復元（5.3）</t>
        </is>
      </c>
      <c r="K142" s="23" t="n"/>
      <c r="L142" s="23" t="n"/>
      <c r="M142" s="22" t="n"/>
    </row>
    <row r="143" ht="17.5" customHeight="1">
      <c r="D143" s="24" t="inlineStr">
        <is>
          <t>15</t>
        </is>
      </c>
      <c r="E143" s="10" t="inlineStr">
        <is>
          <t>作業記録テンプレート</t>
        </is>
      </c>
      <c r="F143" s="23" t="n"/>
      <c r="G143" s="22" t="n"/>
      <c r="H143" s="10" t="inlineStr">
        <is>
          <t>－</t>
        </is>
      </c>
      <c r="I143" s="22" t="n"/>
      <c r="J143" s="10" t="inlineStr">
        <is>
          <t>SCN 台帳、作業ログ、判定記録（8.3）</t>
        </is>
      </c>
      <c r="K143" s="23" t="n"/>
      <c r="L143" s="23" t="n"/>
      <c r="M143" s="22" t="n"/>
    </row>
    <row r="144" ht="6" customHeight="1"/>
    <row r="145" ht="20" customHeight="1">
      <c r="B145" s="19" t="inlineStr">
        <is>
          <t>3.5. 取込バッチの設計（RDS ストレージ制約への対応）</t>
        </is>
      </c>
      <c r="C145" s="20" t="n"/>
      <c r="D145" s="20" t="n"/>
      <c r="E145" s="20" t="n"/>
      <c r="F145" s="20" t="n"/>
      <c r="G145" s="20" t="n"/>
      <c r="H145" s="20" t="n"/>
      <c r="I145" s="20" t="n"/>
      <c r="J145" s="20" t="n"/>
      <c r="K145" s="20" t="n"/>
      <c r="L145" s="20" t="n"/>
      <c r="M145" s="20" t="n"/>
    </row>
    <row r="146" ht="31" customHeight="1">
      <c r="D146" s="7" t="inlineStr">
        <is>
          <t>RDS ストレージは縮小できないため、ダンプ全量（約 1.3TB）を DATA_PUMP_DIR に同時に置く方式は採らない。データを複数のバッチに分割してエクスポートし、バッチ単位に「S3→DATA_PUMP_DIR ダウンロード → impdp → DATA_PUMP_DIR から削除」を繰り返す。</t>
        </is>
      </c>
    </row>
    <row r="147" ht="31" customHeight="1">
      <c r="D147" s="7" t="inlineStr">
        <is>
          <r>
            <rPr>
              <rFont val="ＭＳ Ｐゴシック"/>
              <color rgb="00000000"/>
              <sz val="10"/>
            </rPr>
            <t>・分割単位：表単位（サイズの大きい表は単独バッチ、小さい表はまとめる）。1 バッチのダンプ容量は 300GB 以下を目安とする</t>
          </r>
          <r>
            <rPr>
              <rFont val="ＭＳ Ｐゴシック"/>
              <b val="1"/>
              <color rgb="00FF0000"/>
              <sz val="10"/>
            </rPr>
            <t>【要確認】</t>
          </r>
          <r>
            <rPr>
              <rFont val="ＭＳ Ｐゴシック"/>
              <color rgb="00000000"/>
              <sz val="10"/>
            </rPr>
            <t>（RDS 空き容量 − 安全率で決定）。</t>
          </r>
        </is>
      </c>
    </row>
    <row r="148" ht="31" customHeight="1">
      <c r="D148" s="7" t="inlineStr">
        <is>
          <t>・メタデータとデータを分離する：メタデータ全量（小容量）を先に取り込み（索引・制約・トリガーを除く）、データを各バッチで DATA_ONLY 取込し、最後に索引・制約・トリガーを作成する。索引を後から作成することで取込時間を短縮し、参照整合性制約による取込順序の問題を避ける。</t>
        </is>
      </c>
    </row>
    <row r="149" ht="17.5" customHeight="1">
      <c r="D149" s="7" t="inlineStr">
        <is>
          <t>・全バッチの expdp には同一の FLASHBACK_SCN=S0 を指定し、一貫性を保つ。</t>
        </is>
      </c>
    </row>
    <row r="150" ht="31" customHeight="1">
      <c r="D150" s="7" t="inlineStr">
        <is>
          <t>・S3 には全バッチを先に置き（S3 は容量制約なし）、RDS 側でバッチを順次処理する。ダウンロードと取込はバッチをずらして並行可能（DATA_PUMP_DIR の空き容量が許す範囲）。</t>
        </is>
      </c>
    </row>
    <row r="151" ht="17.5" customHeight="1">
      <c r="D151" s="7" t="inlineStr">
        <is>
          <t>・バッチ割当は付録B（差分方式判定表）の「取込バッチ」列で管理する。</t>
        </is>
      </c>
    </row>
    <row r="152" ht="6" customHeight="1"/>
    <row r="153" ht="20" customHeight="1">
      <c r="B153" s="19" t="inlineStr">
        <is>
          <t>3.6. 表分類（差分方式判定）</t>
        </is>
      </c>
      <c r="C153" s="20" t="n"/>
      <c r="D153" s="20" t="n"/>
      <c r="E153" s="20" t="n"/>
      <c r="F153" s="20" t="n"/>
      <c r="G153" s="20" t="n"/>
      <c r="H153" s="20" t="n"/>
      <c r="I153" s="20" t="n"/>
      <c r="J153" s="20" t="n"/>
      <c r="K153" s="20" t="n"/>
      <c r="L153" s="20" t="n"/>
      <c r="M153" s="20" t="n"/>
    </row>
    <row r="154" ht="31" customHeight="1">
      <c r="D154" s="7" t="inlineStr">
        <is>
          <t>5.1 の判定基準に従い、移行対象の全表について差分方式（A／B／C）を判定し、付録B に記録する。判定は「不確実なものは方式B」を原則とし、方式A・C はアプリケーション・バッチ・ASTERIA フローの調査結果と業務主管の確認をもって確定する。</t>
        </is>
      </c>
    </row>
    <row r="155" ht="16" customHeight="1">
      <c r="D155" s="21" t="inlineStr">
        <is>
          <t>表 3-11　表分類の手順</t>
        </is>
      </c>
    </row>
    <row r="156" ht="17.5" customHeight="1">
      <c r="D156" s="8" t="inlineStr">
        <is>
          <t>No</t>
        </is>
      </c>
      <c r="E156" s="8" t="inlineStr">
        <is>
          <t>作業</t>
        </is>
      </c>
      <c r="F156" s="22" t="n"/>
      <c r="G156" s="8" t="inlineStr">
        <is>
          <t>内容</t>
        </is>
      </c>
      <c r="H156" s="23" t="n"/>
      <c r="I156" s="23" t="n"/>
      <c r="J156" s="23" t="n"/>
      <c r="K156" s="22" t="n"/>
      <c r="L156" s="8" t="inlineStr">
        <is>
          <t>成果物</t>
        </is>
      </c>
      <c r="M156" s="22" t="n"/>
    </row>
    <row r="157" ht="31" customHeight="1">
      <c r="D157" s="24" t="inlineStr">
        <is>
          <t>1</t>
        </is>
      </c>
      <c r="E157" s="10" t="inlineStr">
        <is>
          <t>表一覧の作成</t>
        </is>
      </c>
      <c r="F157" s="22" t="n"/>
      <c r="G157" s="10" t="inlineStr">
        <is>
          <t>dba_tables／dba_segments から表名・件数・サイズ・主キー有無・updatedate／createdate 列の有無を抽出（付録A A-1）</t>
        </is>
      </c>
      <c r="H157" s="23" t="n"/>
      <c r="I157" s="23" t="n"/>
      <c r="J157" s="23" t="n"/>
      <c r="K157" s="22" t="n"/>
      <c r="L157" s="10" t="inlineStr">
        <is>
          <t>付録B の基礎データ</t>
        </is>
      </c>
      <c r="M157" s="22" t="n"/>
    </row>
    <row r="158" ht="44.5" customHeight="1">
      <c r="D158" s="24" t="inlineStr">
        <is>
          <t>2</t>
        </is>
      </c>
      <c r="E158" s="10" t="inlineStr">
        <is>
          <t>更新経路の調査</t>
        </is>
      </c>
      <c r="F158" s="22" t="n"/>
      <c r="G158" s="10" t="inlineStr">
        <is>
          <t>各表の INSERT／UPDATE／DELETE を行うプログラム（AP／API・バッチ・ASTERIA フロー・Data Loader・手動 SQL）を洗い出し、updatedate を更新しているか、物理削除があるかを確認</t>
        </is>
      </c>
      <c r="H158" s="23" t="n"/>
      <c r="I158" s="23" t="n"/>
      <c r="J158" s="23" t="n"/>
      <c r="K158" s="22" t="n"/>
      <c r="L158" s="10" t="inlineStr">
        <is>
          <t>表別の更新経路一覧</t>
        </is>
      </c>
      <c r="M158" s="22" t="n"/>
    </row>
    <row r="159" ht="31" customHeight="1">
      <c r="D159" s="24" t="inlineStr">
        <is>
          <t>3</t>
        </is>
      </c>
      <c r="E159" s="10" t="inlineStr">
        <is>
          <t>週次更新量の推定</t>
        </is>
      </c>
      <c r="F159" s="22" t="n"/>
      <c r="G159" s="10" t="inlineStr">
        <is>
          <t>直近の updatedate 集計、ORA_ROWSCN、業務ヒアリングにより、1 週間で更新される件数・容量を推定</t>
        </is>
      </c>
      <c r="H159" s="23" t="n"/>
      <c r="I159" s="23" t="n"/>
      <c r="J159" s="23" t="n"/>
      <c r="K159" s="22" t="n"/>
      <c r="L159" s="10" t="inlineStr">
        <is>
          <t>差分量の見積り</t>
        </is>
      </c>
      <c r="M159" s="22" t="n"/>
    </row>
    <row r="160" ht="17.5" customHeight="1">
      <c r="D160" s="24" t="inlineStr">
        <is>
          <t>4</t>
        </is>
      </c>
      <c r="E160" s="10" t="inlineStr">
        <is>
          <t>方式判定</t>
        </is>
      </c>
      <c r="F160" s="22" t="n"/>
      <c r="G160" s="10" t="inlineStr">
        <is>
          <t>5.1 の基準で A／B／C を判定。方式C は業務主管の確認を得る</t>
        </is>
      </c>
      <c r="H160" s="23" t="n"/>
      <c r="I160" s="23" t="n"/>
      <c r="J160" s="23" t="n"/>
      <c r="K160" s="22" t="n"/>
      <c r="L160" s="10" t="inlineStr">
        <is>
          <t>付録B</t>
        </is>
      </c>
      <c r="M160" s="22" t="n"/>
    </row>
    <row r="161" ht="31" customHeight="1">
      <c r="D161" s="24" t="inlineStr">
        <is>
          <t>5</t>
        </is>
      </c>
      <c r="E161" s="10" t="inlineStr">
        <is>
          <t>切替時間の見積り</t>
        </is>
      </c>
      <c r="F161" s="22" t="n"/>
      <c r="G161" s="10" t="inlineStr">
        <is>
          <t>方式B 表の合計容量と方式A の差分量から、差分エクスポート・転送・取込時間を見積り、4 時間枠に収まるか机上確認</t>
        </is>
      </c>
      <c r="H161" s="23" t="n"/>
      <c r="I161" s="23" t="n"/>
      <c r="J161" s="23" t="n"/>
      <c r="K161" s="22" t="n"/>
      <c r="L161" s="10" t="inlineStr">
        <is>
          <t>5.4 タイムラインへ反映</t>
        </is>
      </c>
      <c r="M161" s="22" t="n"/>
    </row>
    <row r="162" ht="17.5" customHeight="1">
      <c r="D162" s="24" t="inlineStr">
        <is>
          <t>6</t>
        </is>
      </c>
      <c r="E162" s="10" t="inlineStr">
        <is>
          <t>リハーサルでの検証</t>
        </is>
      </c>
      <c r="F162" s="22" t="n"/>
      <c r="G162" s="10" t="inlineStr">
        <is>
          <t>QA 環境で実測し、判定・バッチ割当を修正</t>
        </is>
      </c>
      <c r="H162" s="23" t="n"/>
      <c r="I162" s="23" t="n"/>
      <c r="J162" s="23" t="n"/>
      <c r="K162" s="22" t="n"/>
      <c r="L162" s="10" t="inlineStr">
        <is>
          <t>付録B 確定版</t>
        </is>
      </c>
      <c r="M162" s="22" t="n"/>
    </row>
    <row r="163" ht="6" customHeight="1"/>
    <row r="164" ht="20" customHeight="1">
      <c r="B164" s="19" t="inlineStr">
        <is>
          <t>3.7. リハーサル（QA 環境）</t>
        </is>
      </c>
      <c r="C164" s="20" t="n"/>
      <c r="D164" s="20" t="n"/>
      <c r="E164" s="20" t="n"/>
      <c r="F164" s="20" t="n"/>
      <c r="G164" s="20" t="n"/>
      <c r="H164" s="20" t="n"/>
      <c r="I164" s="20" t="n"/>
      <c r="J164" s="20" t="n"/>
      <c r="K164" s="20" t="n"/>
      <c r="L164" s="20" t="n"/>
      <c r="M164" s="20" t="n"/>
    </row>
    <row r="165" ht="31" customHeight="1">
      <c r="D165" s="7" t="inlineStr">
        <is>
          <t>本番移行の前に、QA 環境で本番相当データ（本番からのコピー、または本番と同規模のデータ）を用いて、初期全量移行から差分移行・切替までの全工程を本番と同一手順で実施し、所要時間を実測する。</t>
        </is>
      </c>
    </row>
    <row r="166" ht="16" customHeight="1">
      <c r="D166" s="21" t="inlineStr">
        <is>
          <t>表 3-12　リハーサル計画</t>
        </is>
      </c>
    </row>
    <row r="167" ht="17.5" customHeight="1">
      <c r="D167" s="8" t="inlineStr">
        <is>
          <t>No</t>
        </is>
      </c>
      <c r="E167" s="8" t="inlineStr">
        <is>
          <t>項目</t>
        </is>
      </c>
      <c r="F167" s="22" t="n"/>
      <c r="G167" s="8" t="inlineStr">
        <is>
          <t>内容</t>
        </is>
      </c>
      <c r="H167" s="23" t="n"/>
      <c r="I167" s="23" t="n"/>
      <c r="J167" s="23" t="n"/>
      <c r="K167" s="23" t="n"/>
      <c r="L167" s="23" t="n"/>
      <c r="M167" s="22" t="n"/>
    </row>
    <row r="168" ht="17.5" customHeight="1">
      <c r="D168" s="24" t="inlineStr">
        <is>
          <t>1</t>
        </is>
      </c>
      <c r="E168" s="10" t="inlineStr">
        <is>
          <t>目的</t>
        </is>
      </c>
      <c r="F168" s="22" t="n"/>
      <c r="G168" s="10" t="inlineStr">
        <is>
          <t>手順・スクリプトの妥当性確認、所要時間の実測（4 時間枠の判定）、検証手順の確立、体制・連絡の確認</t>
        </is>
      </c>
      <c r="H168" s="23" t="n"/>
      <c r="I168" s="23" t="n"/>
      <c r="J168" s="23" t="n"/>
      <c r="K168" s="23" t="n"/>
      <c r="L168" s="23" t="n"/>
      <c r="M168" s="22" t="n"/>
    </row>
    <row r="169" ht="31" customHeight="1">
      <c r="D169" s="24" t="inlineStr">
        <is>
          <t>2</t>
        </is>
      </c>
      <c r="E169" s="10" t="inlineStr">
        <is>
          <t>データ</t>
        </is>
      </c>
      <c r="F169" s="22" t="n"/>
      <c r="G169" s="10" t="inlineStr">
        <is>
          <r>
            <rPr>
              <rFont val="ＭＳ Ｐゴシック"/>
              <color rgb="00000000"/>
              <sz val="10"/>
            </rPr>
            <t>本番の Data Pump ダンプを QA の RDS へ取り込んで本番相当とする（個人情報の取扱いは規程に従う）</t>
          </r>
          <r>
            <rPr>
              <rFont val="ＭＳ Ｐゴシック"/>
              <b val="1"/>
              <color rgb="00FF0000"/>
              <sz val="10"/>
            </rPr>
            <t>【要確認】</t>
          </r>
        </is>
      </c>
      <c r="H169" s="23" t="n"/>
      <c r="I169" s="23" t="n"/>
      <c r="J169" s="23" t="n"/>
      <c r="K169" s="23" t="n"/>
      <c r="L169" s="23" t="n"/>
      <c r="M169" s="22" t="n"/>
    </row>
    <row r="170" ht="31" customHeight="1">
      <c r="D170" s="24" t="inlineStr">
        <is>
          <t>3</t>
        </is>
      </c>
      <c r="E170" s="10" t="inlineStr">
        <is>
          <t>実施内容</t>
        </is>
      </c>
      <c r="F170" s="22" t="n"/>
      <c r="G170" s="10" t="inlineStr">
        <is>
          <t>①初期全量移行（4 章の全工程）②検証（6 章の主要項目）③模擬の 1 週間更新（バッチ実行等）④基点スナップショットへの復元 ⑤差分移行・切替（5 章の全工程、タイムライン計測）⑥切戻し手順</t>
        </is>
      </c>
      <c r="H170" s="23" t="n"/>
      <c r="I170" s="23" t="n"/>
      <c r="J170" s="23" t="n"/>
      <c r="K170" s="23" t="n"/>
      <c r="L170" s="23" t="n"/>
      <c r="M170" s="22" t="n"/>
    </row>
    <row r="171" ht="31" customHeight="1">
      <c r="D171" s="24" t="inlineStr">
        <is>
          <t>4</t>
        </is>
      </c>
      <c r="E171" s="10" t="inlineStr">
        <is>
          <t>計測項目</t>
        </is>
      </c>
      <c r="F171" s="22" t="n"/>
      <c r="G171" s="10" t="inlineStr">
        <is>
          <t>expdp（メタ／データ各バッチ）、rsync、aws s3 cp、download_from_s3、impdp、索引作成、統計取得、差分エクスポート、方式B 取込、方式A MERGE、検証 SQL、復元（識別子付替え含む）</t>
        </is>
      </c>
      <c r="H171" s="23" t="n"/>
      <c r="I171" s="23" t="n"/>
      <c r="J171" s="23" t="n"/>
      <c r="K171" s="23" t="n"/>
      <c r="L171" s="23" t="n"/>
      <c r="M171" s="22" t="n"/>
    </row>
    <row r="172" ht="31" customHeight="1">
      <c r="D172" s="24" t="inlineStr">
        <is>
          <t>5</t>
        </is>
      </c>
      <c r="E172" s="10" t="inlineStr">
        <is>
          <t>判定</t>
        </is>
      </c>
      <c r="F172" s="22" t="n"/>
      <c r="G172" s="10" t="inlineStr">
        <is>
          <t>差分移行・切替の合計が 4 時間 × 安全率 0.75 ＝ 3 時間以内であれば本番計画を確定。超過する場合は 5.1 の代替策（方式C 拡大、変更ログトリガー、DMS CDC）を適用して再リハーサル</t>
        </is>
      </c>
      <c r="H172" s="23" t="n"/>
      <c r="I172" s="23" t="n"/>
      <c r="J172" s="23" t="n"/>
      <c r="K172" s="23" t="n"/>
      <c r="L172" s="23" t="n"/>
      <c r="M172" s="22" t="n"/>
    </row>
    <row r="173" ht="17.5" customHeight="1">
      <c r="D173" s="24" t="inlineStr">
        <is>
          <t>6</t>
        </is>
      </c>
      <c r="E173" s="10" t="inlineStr">
        <is>
          <t>成果物</t>
        </is>
      </c>
      <c r="F173" s="22" t="n"/>
      <c r="G173" s="10" t="inlineStr">
        <is>
          <t>リハーサル結果報告（実測時間、発生した問題と対処、手順書の修正点）、本番切替タイムライン（確定版）</t>
        </is>
      </c>
      <c r="H173" s="23" t="n"/>
      <c r="I173" s="23" t="n"/>
      <c r="J173" s="23" t="n"/>
      <c r="K173" s="23" t="n"/>
      <c r="L173" s="23" t="n"/>
      <c r="M173" s="22" t="n"/>
    </row>
    <row r="174" ht="6" customHeight="1"/>
    <row r="175" ht="20" customHeight="1">
      <c r="B175" s="19" t="inlineStr">
        <is>
          <t>3.8. 事前準備 完了チェックリスト</t>
        </is>
      </c>
      <c r="C175" s="20" t="n"/>
      <c r="D175" s="20" t="n"/>
      <c r="E175" s="20" t="n"/>
      <c r="F175" s="20" t="n"/>
      <c r="G175" s="20" t="n"/>
      <c r="H175" s="20" t="n"/>
      <c r="I175" s="20" t="n"/>
      <c r="J175" s="20" t="n"/>
      <c r="K175" s="20" t="n"/>
      <c r="L175" s="20" t="n"/>
      <c r="M175" s="20" t="n"/>
    </row>
    <row r="176" ht="17.5" customHeight="1">
      <c r="D176" s="7" t="inlineStr">
        <is>
          <t>初期全量移行の開始判定に用いる。全項目が「完了」であること。詳細は付録C。</t>
        </is>
      </c>
    </row>
    <row r="177" ht="17.5" customHeight="1">
      <c r="D177" s="8" t="inlineStr">
        <is>
          <t>No</t>
        </is>
      </c>
      <c r="E177" s="8" t="inlineStr">
        <is>
          <t>確認項目</t>
        </is>
      </c>
      <c r="F177" s="23" t="n"/>
      <c r="G177" s="23" t="n"/>
      <c r="H177" s="23" t="n"/>
      <c r="I177" s="22" t="n"/>
      <c r="J177" s="8" t="inlineStr">
        <is>
          <t>確認方法</t>
        </is>
      </c>
      <c r="K177" s="23" t="n"/>
      <c r="L177" s="22" t="n"/>
      <c r="M177" s="8" t="inlineStr">
        <is>
          <t>完了</t>
        </is>
      </c>
    </row>
    <row r="178" ht="31" customHeight="1">
      <c r="D178" s="24" t="inlineStr">
        <is>
          <t>1</t>
        </is>
      </c>
      <c r="E178" s="10" t="inlineStr">
        <is>
          <r>
            <rPr>
              <rFont val="ＭＳ Ｐゴシック"/>
              <color rgb="00000000"/>
              <sz val="10"/>
            </rPr>
            <t>事前調査結果が記録され、</t>
          </r>
          <r>
            <rPr>
              <rFont val="ＭＳ Ｐゴシック"/>
              <b val="1"/>
              <color rgb="00FF0000"/>
              <sz val="10"/>
            </rPr>
            <t>【要確認】</t>
          </r>
          <r>
            <rPr>
              <rFont val="ＭＳ Ｐゴシック"/>
              <color rgb="00000000"/>
              <sz val="10"/>
            </rPr>
            <t>事項（10 章）のうち移行実施に必要なものが確定している</t>
          </r>
        </is>
      </c>
      <c r="F178" s="23" t="n"/>
      <c r="G178" s="23" t="n"/>
      <c r="H178" s="23" t="n"/>
      <c r="I178" s="22" t="n"/>
      <c r="J178" s="10" t="inlineStr">
        <is>
          <t>事前調査結果・10 章</t>
        </is>
      </c>
      <c r="K178" s="23" t="n"/>
      <c r="L178" s="22" t="n"/>
      <c r="M178" s="24" t="inlineStr">
        <is>
          <t>□</t>
        </is>
      </c>
    </row>
    <row r="179" ht="31" customHeight="1">
      <c r="D179" s="24" t="inlineStr">
        <is>
          <t>2</t>
        </is>
      </c>
      <c r="E179" s="10" t="inlineStr">
        <is>
          <t>RDS インスタンス（オプション・パラメータ・IAM ロール関連付け）が作成され、S3 統合が動作する（テストファイルの download_from_s3 成功）</t>
        </is>
      </c>
      <c r="F179" s="23" t="n"/>
      <c r="G179" s="23" t="n"/>
      <c r="H179" s="23" t="n"/>
      <c r="I179" s="22" t="n"/>
      <c r="J179" s="10" t="inlineStr">
        <is>
          <t>タスクログ</t>
        </is>
      </c>
      <c r="K179" s="23" t="n"/>
      <c r="L179" s="22" t="n"/>
      <c r="M179" s="24" t="inlineStr">
        <is>
          <t>□</t>
        </is>
      </c>
    </row>
    <row r="180" ht="31" customHeight="1">
      <c r="D180" s="24" t="inlineStr">
        <is>
          <t>3</t>
        </is>
      </c>
      <c r="E180" s="10" t="inlineStr">
        <is>
          <t>S3 バケット・IAM ロール・VPC Peering・SG・S3 エンドポイントが設定され、rsync／aws s3 cp／sqlplus（RDS）の疎通が確認できている</t>
        </is>
      </c>
      <c r="F180" s="23" t="n"/>
      <c r="G180" s="23" t="n"/>
      <c r="H180" s="23" t="n"/>
      <c r="I180" s="22" t="n"/>
      <c r="J180" s="10" t="inlineStr">
        <is>
          <t>接続テスト記録</t>
        </is>
      </c>
      <c r="K180" s="23" t="n"/>
      <c r="L180" s="22" t="n"/>
      <c r="M180" s="24" t="inlineStr">
        <is>
          <t>□</t>
        </is>
      </c>
    </row>
    <row r="181" ht="31" customHeight="1">
      <c r="D181" s="24" t="inlineStr">
        <is>
          <t>4</t>
        </is>
      </c>
      <c r="E181" s="10" t="inlineStr">
        <is>
          <t>現行 EC2 に一時 EBS がマウントされ、DPUMP_MIG が作成されている。UNDO 設定変更済み</t>
        </is>
      </c>
      <c r="F181" s="23" t="n"/>
      <c r="G181" s="23" t="n"/>
      <c r="H181" s="23" t="n"/>
      <c r="I181" s="22" t="n"/>
      <c r="J181" s="10" t="inlineStr">
        <is>
          <t>df、dba_directories</t>
        </is>
      </c>
      <c r="K181" s="23" t="n"/>
      <c r="L181" s="22" t="n"/>
      <c r="M181" s="24" t="inlineStr">
        <is>
          <t>□</t>
        </is>
      </c>
    </row>
    <row r="182" ht="31" customHeight="1">
      <c r="D182" s="24" t="inlineStr">
        <is>
          <t>5</t>
        </is>
      </c>
      <c r="E182" s="10" t="inlineStr">
        <is>
          <t>新 AP/API サーバに AWS CLI v2・Instant Client・中継領域・スクリプトが配置されている</t>
        </is>
      </c>
      <c r="F182" s="23" t="n"/>
      <c r="G182" s="23" t="n"/>
      <c r="H182" s="23" t="n"/>
      <c r="I182" s="22" t="n"/>
      <c r="J182" s="10" t="inlineStr">
        <is>
          <t>ls、バージョン確認</t>
        </is>
      </c>
      <c r="K182" s="23" t="n"/>
      <c r="L182" s="22" t="n"/>
      <c r="M182" s="24" t="inlineStr">
        <is>
          <t>□</t>
        </is>
      </c>
    </row>
    <row r="183" ht="31" customHeight="1">
      <c r="D183" s="24" t="inlineStr">
        <is>
          <t>6</t>
        </is>
      </c>
      <c r="E183" s="10" t="inlineStr">
        <is>
          <t>RDS に表領域・ユーザ・ロール・権限・ステージングスキーマが作成されている</t>
        </is>
      </c>
      <c r="F183" s="23" t="n"/>
      <c r="G183" s="23" t="n"/>
      <c r="H183" s="23" t="n"/>
      <c r="I183" s="22" t="n"/>
      <c r="J183" s="10" t="inlineStr">
        <is>
          <t>dba_tablespaces、dba_users</t>
        </is>
      </c>
      <c r="K183" s="23" t="n"/>
      <c r="L183" s="22" t="n"/>
      <c r="M183" s="24" t="inlineStr">
        <is>
          <t>□</t>
        </is>
      </c>
    </row>
    <row r="184" ht="17.5" customHeight="1">
      <c r="D184" s="24" t="inlineStr">
        <is>
          <t>7</t>
        </is>
      </c>
      <c r="E184" s="10" t="inlineStr">
        <is>
          <t>付録B（表分類・取込バッチ割当）が確定している</t>
        </is>
      </c>
      <c r="F184" s="23" t="n"/>
      <c r="G184" s="23" t="n"/>
      <c r="H184" s="23" t="n"/>
      <c r="I184" s="22" t="n"/>
      <c r="J184" s="10" t="inlineStr">
        <is>
          <t>付録B</t>
        </is>
      </c>
      <c r="K184" s="23" t="n"/>
      <c r="L184" s="22" t="n"/>
      <c r="M184" s="24" t="inlineStr">
        <is>
          <t>□</t>
        </is>
      </c>
    </row>
    <row r="185" ht="31" customHeight="1">
      <c r="D185" s="24" t="inlineStr">
        <is>
          <t>8</t>
        </is>
      </c>
      <c r="E185" s="10" t="inlineStr">
        <is>
          <t>QA でのリハーサルが完了し、実測時間が 4 時間枠の判定基準を満たしている</t>
        </is>
      </c>
      <c r="F185" s="23" t="n"/>
      <c r="G185" s="23" t="n"/>
      <c r="H185" s="23" t="n"/>
      <c r="I185" s="22" t="n"/>
      <c r="J185" s="10" t="inlineStr">
        <is>
          <t>リハーサル結果報告</t>
        </is>
      </c>
      <c r="K185" s="23" t="n"/>
      <c r="L185" s="22" t="n"/>
      <c r="M185" s="24" t="inlineStr">
        <is>
          <t>□</t>
        </is>
      </c>
    </row>
    <row r="186" ht="31" customHeight="1">
      <c r="D186" s="24" t="inlineStr">
        <is>
          <t>9</t>
        </is>
      </c>
      <c r="E186" s="10" t="inlineStr">
        <is>
          <t>移行前バックアップ（現行 AMI・既存バックアップ）が取得され、復元可能であることを確認済み</t>
        </is>
      </c>
      <c r="F186" s="23" t="n"/>
      <c r="G186" s="23" t="n"/>
      <c r="H186" s="23" t="n"/>
      <c r="I186" s="22" t="n"/>
      <c r="J186" s="10" t="inlineStr">
        <is>
          <t>バックアップログ</t>
        </is>
      </c>
      <c r="K186" s="23" t="n"/>
      <c r="L186" s="22" t="n"/>
      <c r="M186" s="24" t="inlineStr">
        <is>
          <t>□</t>
        </is>
      </c>
    </row>
    <row r="187" ht="31" customHeight="1">
      <c r="D187" s="24" t="inlineStr">
        <is>
          <t>10</t>
        </is>
      </c>
      <c r="E187" s="10" t="inlineStr">
        <is>
          <t>関係者（業務主管・連携先・運用）への周知、変更凍結、体制表・連絡網が確定している</t>
        </is>
      </c>
      <c r="F187" s="23" t="n"/>
      <c r="G187" s="23" t="n"/>
      <c r="H187" s="23" t="n"/>
      <c r="I187" s="22" t="n"/>
      <c r="J187" s="10" t="inlineStr">
        <is>
          <t>周知記録</t>
        </is>
      </c>
      <c r="K187" s="23" t="n"/>
      <c r="L187" s="22" t="n"/>
      <c r="M187" s="24" t="inlineStr">
        <is>
          <t>□</t>
        </is>
      </c>
    </row>
  </sheetData>
  <mergeCells count="410">
    <mergeCell ref="D66:F66"/>
    <mergeCell ref="J138:M138"/>
    <mergeCell ref="E8:F8"/>
    <mergeCell ref="D45:E45"/>
    <mergeCell ref="H143:I143"/>
    <mergeCell ref="E171:F171"/>
    <mergeCell ref="G116:K116"/>
    <mergeCell ref="G103:K103"/>
    <mergeCell ref="F36:J36"/>
    <mergeCell ref="F33:J33"/>
    <mergeCell ref="E173:F173"/>
    <mergeCell ref="G118:K118"/>
    <mergeCell ref="L102:M102"/>
    <mergeCell ref="G16:I16"/>
    <mergeCell ref="F75:J75"/>
    <mergeCell ref="D78:E78"/>
    <mergeCell ref="G9:I9"/>
    <mergeCell ref="K34:M34"/>
    <mergeCell ref="E168:F168"/>
    <mergeCell ref="F39:J39"/>
    <mergeCell ref="K36:M36"/>
    <mergeCell ref="D73:E73"/>
    <mergeCell ref="G58:J58"/>
    <mergeCell ref="E138:G138"/>
    <mergeCell ref="D146:M146"/>
    <mergeCell ref="L120:M120"/>
    <mergeCell ref="E117:F117"/>
    <mergeCell ref="K44:M44"/>
    <mergeCell ref="C30:M30"/>
    <mergeCell ref="L107:M107"/>
    <mergeCell ref="J134:M134"/>
    <mergeCell ref="E133:G133"/>
    <mergeCell ref="L121:M121"/>
    <mergeCell ref="E161:F161"/>
    <mergeCell ref="J8:M8"/>
    <mergeCell ref="E177:I177"/>
    <mergeCell ref="D68:F68"/>
    <mergeCell ref="D53:E53"/>
    <mergeCell ref="J10:M10"/>
    <mergeCell ref="D47:E47"/>
    <mergeCell ref="D67:F67"/>
    <mergeCell ref="B5:M5"/>
    <mergeCell ref="E178:I178"/>
    <mergeCell ref="D69:F69"/>
    <mergeCell ref="E110:F110"/>
    <mergeCell ref="E16:F16"/>
    <mergeCell ref="G119:K119"/>
    <mergeCell ref="G17:I17"/>
    <mergeCell ref="E18:F18"/>
    <mergeCell ref="D79:E79"/>
    <mergeCell ref="G65:J65"/>
    <mergeCell ref="G19:I19"/>
    <mergeCell ref="L103:M103"/>
    <mergeCell ref="D81:E81"/>
    <mergeCell ref="K75:M75"/>
    <mergeCell ref="B145:M145"/>
    <mergeCell ref="J178:L178"/>
    <mergeCell ref="J21:M21"/>
    <mergeCell ref="H137:I137"/>
    <mergeCell ref="G60:J60"/>
    <mergeCell ref="K39:M39"/>
    <mergeCell ref="L157:M157"/>
    <mergeCell ref="E158:F158"/>
    <mergeCell ref="E108:F108"/>
    <mergeCell ref="D149:M149"/>
    <mergeCell ref="L123:M123"/>
    <mergeCell ref="G12:I12"/>
    <mergeCell ref="E162:F162"/>
    <mergeCell ref="D151:M151"/>
    <mergeCell ref="D92:E92"/>
    <mergeCell ref="D55:E55"/>
    <mergeCell ref="F37:J37"/>
    <mergeCell ref="D126:M126"/>
    <mergeCell ref="D150:M150"/>
    <mergeCell ref="J16:M16"/>
    <mergeCell ref="K63:M63"/>
    <mergeCell ref="J143:M143"/>
    <mergeCell ref="E24:F24"/>
    <mergeCell ref="K58:M58"/>
    <mergeCell ref="E17:F17"/>
    <mergeCell ref="E181:I181"/>
    <mergeCell ref="B29:M29"/>
    <mergeCell ref="G160:K160"/>
    <mergeCell ref="E19:F19"/>
    <mergeCell ref="F86:J86"/>
    <mergeCell ref="F42:J42"/>
    <mergeCell ref="F80:J80"/>
    <mergeCell ref="L117:M117"/>
    <mergeCell ref="G25:I25"/>
    <mergeCell ref="D87:E87"/>
    <mergeCell ref="H138:I138"/>
    <mergeCell ref="L119:M119"/>
    <mergeCell ref="B153:M153"/>
    <mergeCell ref="H140:I140"/>
    <mergeCell ref="D65:F65"/>
    <mergeCell ref="E159:F159"/>
    <mergeCell ref="E97:F97"/>
    <mergeCell ref="E109:F109"/>
    <mergeCell ref="G158:K158"/>
    <mergeCell ref="G13:I13"/>
    <mergeCell ref="K46:M46"/>
    <mergeCell ref="K40:M40"/>
    <mergeCell ref="D165:M165"/>
    <mergeCell ref="J179:L179"/>
    <mergeCell ref="E111:F111"/>
    <mergeCell ref="J18:M18"/>
    <mergeCell ref="G15:I15"/>
    <mergeCell ref="J187:L187"/>
    <mergeCell ref="F74:J74"/>
    <mergeCell ref="D77:E77"/>
    <mergeCell ref="J17:M17"/>
    <mergeCell ref="H133:I133"/>
    <mergeCell ref="F76:J76"/>
    <mergeCell ref="C50:M50"/>
    <mergeCell ref="K73:M73"/>
    <mergeCell ref="J19:M19"/>
    <mergeCell ref="K66:M66"/>
    <mergeCell ref="H128:I128"/>
    <mergeCell ref="L161:M161"/>
    <mergeCell ref="E27:F27"/>
    <mergeCell ref="E119:F119"/>
    <mergeCell ref="K74:M74"/>
    <mergeCell ref="E116:F116"/>
    <mergeCell ref="K68:M68"/>
    <mergeCell ref="F92:J92"/>
    <mergeCell ref="E141:G141"/>
    <mergeCell ref="E135:G135"/>
    <mergeCell ref="E22:F22"/>
    <mergeCell ref="D88:E88"/>
    <mergeCell ref="E184:I184"/>
    <mergeCell ref="L110:M110"/>
    <mergeCell ref="J137:M137"/>
    <mergeCell ref="E143:G143"/>
    <mergeCell ref="F87:J87"/>
    <mergeCell ref="F54:G54"/>
    <mergeCell ref="L160:M160"/>
    <mergeCell ref="D90:E90"/>
    <mergeCell ref="G115:K115"/>
    <mergeCell ref="E122:F122"/>
    <mergeCell ref="J139:M139"/>
    <mergeCell ref="B175:M175"/>
    <mergeCell ref="F89:J89"/>
    <mergeCell ref="D31:M31"/>
    <mergeCell ref="G170:M170"/>
    <mergeCell ref="K62:M62"/>
    <mergeCell ref="D37:E37"/>
    <mergeCell ref="C71:M71"/>
    <mergeCell ref="G172:M172"/>
    <mergeCell ref="E129:G129"/>
    <mergeCell ref="J27:M27"/>
    <mergeCell ref="H54:M54"/>
    <mergeCell ref="L158:M158"/>
    <mergeCell ref="F77:J77"/>
    <mergeCell ref="J20:M20"/>
    <mergeCell ref="D38:E38"/>
    <mergeCell ref="H136:I136"/>
    <mergeCell ref="E131:G131"/>
    <mergeCell ref="G159:K159"/>
    <mergeCell ref="K76:M76"/>
    <mergeCell ref="G96:K96"/>
    <mergeCell ref="J22:M22"/>
    <mergeCell ref="G161:K161"/>
    <mergeCell ref="E160:F160"/>
    <mergeCell ref="K67:M67"/>
    <mergeCell ref="G98:K98"/>
    <mergeCell ref="K77:M77"/>
    <mergeCell ref="E107:F107"/>
    <mergeCell ref="D52:E52"/>
    <mergeCell ref="D148:M148"/>
    <mergeCell ref="G156:K156"/>
    <mergeCell ref="E136:G136"/>
    <mergeCell ref="D91:E91"/>
    <mergeCell ref="B164:M164"/>
    <mergeCell ref="J140:M140"/>
    <mergeCell ref="G108:K108"/>
    <mergeCell ref="F90:J90"/>
    <mergeCell ref="K87:M87"/>
    <mergeCell ref="D59:F59"/>
    <mergeCell ref="L100:M100"/>
    <mergeCell ref="K89:M89"/>
    <mergeCell ref="G109:K109"/>
    <mergeCell ref="E112:F112"/>
    <mergeCell ref="L115:M115"/>
    <mergeCell ref="K88:M88"/>
    <mergeCell ref="L108:M108"/>
    <mergeCell ref="G111:K111"/>
    <mergeCell ref="F44:J44"/>
    <mergeCell ref="E128:G128"/>
    <mergeCell ref="K90:M90"/>
    <mergeCell ref="D61:F61"/>
    <mergeCell ref="D46:E46"/>
    <mergeCell ref="J133:M133"/>
    <mergeCell ref="D40:E40"/>
    <mergeCell ref="J130:M130"/>
    <mergeCell ref="G63:J63"/>
    <mergeCell ref="L97:M97"/>
    <mergeCell ref="K42:M42"/>
    <mergeCell ref="J135:M135"/>
    <mergeCell ref="D62:F62"/>
    <mergeCell ref="D41:E41"/>
    <mergeCell ref="G162:K162"/>
    <mergeCell ref="E9:F9"/>
    <mergeCell ref="E167:F167"/>
    <mergeCell ref="D64:F64"/>
    <mergeCell ref="J136:M136"/>
    <mergeCell ref="D43:E43"/>
    <mergeCell ref="K37:M37"/>
    <mergeCell ref="E11:F11"/>
    <mergeCell ref="E169:F169"/>
    <mergeCell ref="L96:M96"/>
    <mergeCell ref="D74:E74"/>
    <mergeCell ref="G171:M171"/>
    <mergeCell ref="G117:K117"/>
    <mergeCell ref="D36:E36"/>
    <mergeCell ref="L116:M116"/>
    <mergeCell ref="E156:F156"/>
    <mergeCell ref="G112:K112"/>
    <mergeCell ref="F45:J45"/>
    <mergeCell ref="L118:M118"/>
    <mergeCell ref="D48:E48"/>
    <mergeCell ref="E157:F157"/>
    <mergeCell ref="F47:J47"/>
    <mergeCell ref="J9:M9"/>
    <mergeCell ref="L109:M109"/>
    <mergeCell ref="L122:M122"/>
    <mergeCell ref="F46:J46"/>
    <mergeCell ref="G66:J66"/>
    <mergeCell ref="F48:J48"/>
    <mergeCell ref="G167:M167"/>
    <mergeCell ref="E187:I187"/>
    <mergeCell ref="K45:M45"/>
    <mergeCell ref="J184:L184"/>
    <mergeCell ref="G68:J68"/>
    <mergeCell ref="E12:F12"/>
    <mergeCell ref="K47:M47"/>
    <mergeCell ref="F73:J73"/>
    <mergeCell ref="C83:M83"/>
    <mergeCell ref="L98:M98"/>
    <mergeCell ref="D3:M3"/>
    <mergeCell ref="E14:F14"/>
    <mergeCell ref="K86:M86"/>
    <mergeCell ref="L106:M106"/>
    <mergeCell ref="E170:F170"/>
    <mergeCell ref="F41:J41"/>
    <mergeCell ref="F35:J35"/>
    <mergeCell ref="G67:J67"/>
    <mergeCell ref="D75:E75"/>
    <mergeCell ref="G61:J61"/>
    <mergeCell ref="D60:F60"/>
    <mergeCell ref="D39:E39"/>
    <mergeCell ref="K33:M33"/>
    <mergeCell ref="G62:J62"/>
    <mergeCell ref="E172:F172"/>
    <mergeCell ref="E25:F25"/>
    <mergeCell ref="J11:M11"/>
    <mergeCell ref="G8:I8"/>
    <mergeCell ref="D89:E89"/>
    <mergeCell ref="L111:M111"/>
    <mergeCell ref="K35:M35"/>
    <mergeCell ref="D147:M147"/>
    <mergeCell ref="G10:I10"/>
    <mergeCell ref="E137:G137"/>
    <mergeCell ref="J12:M12"/>
    <mergeCell ref="L112:M112"/>
    <mergeCell ref="K59:M59"/>
    <mergeCell ref="E20:F20"/>
    <mergeCell ref="E180:I180"/>
    <mergeCell ref="G173:M173"/>
    <mergeCell ref="D58:F58"/>
    <mergeCell ref="K61:M61"/>
    <mergeCell ref="E13:F13"/>
    <mergeCell ref="K48:M48"/>
    <mergeCell ref="E182:I182"/>
    <mergeCell ref="E15:F15"/>
    <mergeCell ref="F38:J38"/>
    <mergeCell ref="D6:M6"/>
    <mergeCell ref="G110:K110"/>
    <mergeCell ref="G21:I21"/>
    <mergeCell ref="E179:I179"/>
    <mergeCell ref="J180:L180"/>
    <mergeCell ref="J132:M132"/>
    <mergeCell ref="G23:I23"/>
    <mergeCell ref="D85:E85"/>
    <mergeCell ref="J25:M25"/>
    <mergeCell ref="K41:M41"/>
    <mergeCell ref="G64:J64"/>
    <mergeCell ref="G168:M168"/>
    <mergeCell ref="E106:F106"/>
    <mergeCell ref="H134:I134"/>
    <mergeCell ref="G18:I18"/>
    <mergeCell ref="E185:I185"/>
    <mergeCell ref="K43:M43"/>
    <mergeCell ref="D80:E80"/>
    <mergeCell ref="F55:G55"/>
    <mergeCell ref="E10:F10"/>
    <mergeCell ref="J14:M14"/>
    <mergeCell ref="J177:L177"/>
    <mergeCell ref="J13:M13"/>
    <mergeCell ref="L162:M162"/>
    <mergeCell ref="L156:M156"/>
    <mergeCell ref="J185:L185"/>
    <mergeCell ref="K69:M69"/>
    <mergeCell ref="J15:M15"/>
    <mergeCell ref="H131:I131"/>
    <mergeCell ref="F52:G52"/>
    <mergeCell ref="G11:I11"/>
    <mergeCell ref="E183:I183"/>
    <mergeCell ref="K64:M64"/>
    <mergeCell ref="F53:G53"/>
    <mergeCell ref="E21:F21"/>
    <mergeCell ref="F88:J88"/>
    <mergeCell ref="J182:L182"/>
    <mergeCell ref="E23:F23"/>
    <mergeCell ref="G24:I24"/>
    <mergeCell ref="D86:E86"/>
    <mergeCell ref="J183:L183"/>
    <mergeCell ref="H142:I142"/>
    <mergeCell ref="H129:I129"/>
    <mergeCell ref="G26:I26"/>
    <mergeCell ref="F85:J85"/>
    <mergeCell ref="G169:M169"/>
    <mergeCell ref="E99:F99"/>
    <mergeCell ref="E186:I186"/>
    <mergeCell ref="B94:M94"/>
    <mergeCell ref="H53:M53"/>
    <mergeCell ref="E101:F101"/>
    <mergeCell ref="L159:M159"/>
    <mergeCell ref="D154:M154"/>
    <mergeCell ref="B125:M125"/>
    <mergeCell ref="E100:F100"/>
    <mergeCell ref="H139:I139"/>
    <mergeCell ref="D33:E33"/>
    <mergeCell ref="H55:M55"/>
    <mergeCell ref="E115:F115"/>
    <mergeCell ref="G99:K99"/>
    <mergeCell ref="K60:M60"/>
    <mergeCell ref="E102:F102"/>
    <mergeCell ref="J128:M128"/>
    <mergeCell ref="D35:E35"/>
    <mergeCell ref="J186:L186"/>
    <mergeCell ref="F78:J78"/>
    <mergeCell ref="D34:E34"/>
    <mergeCell ref="H52:M52"/>
    <mergeCell ref="J129:M129"/>
    <mergeCell ref="H130:I130"/>
    <mergeCell ref="G157:K157"/>
    <mergeCell ref="J23:M23"/>
    <mergeCell ref="G122:K122"/>
    <mergeCell ref="G14:I14"/>
    <mergeCell ref="D76:E76"/>
    <mergeCell ref="G101:K101"/>
    <mergeCell ref="H132:I132"/>
    <mergeCell ref="J141:M141"/>
    <mergeCell ref="K65:M65"/>
    <mergeCell ref="E134:G134"/>
    <mergeCell ref="F91:J91"/>
    <mergeCell ref="E139:G139"/>
    <mergeCell ref="E26:F26"/>
    <mergeCell ref="E120:F120"/>
    <mergeCell ref="G27:I27"/>
    <mergeCell ref="E140:G140"/>
    <mergeCell ref="G106:K106"/>
    <mergeCell ref="K91:M91"/>
    <mergeCell ref="K85:M85"/>
    <mergeCell ref="E121:F121"/>
    <mergeCell ref="G120:K120"/>
    <mergeCell ref="E123:F123"/>
    <mergeCell ref="G107:K107"/>
    <mergeCell ref="F40:J40"/>
    <mergeCell ref="E103:F103"/>
    <mergeCell ref="G59:J59"/>
    <mergeCell ref="G20:I20"/>
    <mergeCell ref="F79:J79"/>
    <mergeCell ref="E118:F118"/>
    <mergeCell ref="K38:M38"/>
    <mergeCell ref="J131:M131"/>
    <mergeCell ref="G22:I22"/>
    <mergeCell ref="F81:J81"/>
    <mergeCell ref="J181:L181"/>
    <mergeCell ref="K78:M78"/>
    <mergeCell ref="J24:M24"/>
    <mergeCell ref="K80:M80"/>
    <mergeCell ref="G100:K100"/>
    <mergeCell ref="E142:G142"/>
    <mergeCell ref="J26:M26"/>
    <mergeCell ref="K79:M79"/>
    <mergeCell ref="D54:E54"/>
    <mergeCell ref="H141:I141"/>
    <mergeCell ref="E96:F96"/>
    <mergeCell ref="G102:K102"/>
    <mergeCell ref="H135:I135"/>
    <mergeCell ref="K81:M81"/>
    <mergeCell ref="F34:J34"/>
    <mergeCell ref="E98:F98"/>
    <mergeCell ref="L101:M101"/>
    <mergeCell ref="D176:M176"/>
    <mergeCell ref="B1:M1"/>
    <mergeCell ref="J142:M142"/>
    <mergeCell ref="G97:K97"/>
    <mergeCell ref="G121:K121"/>
    <mergeCell ref="E130:G130"/>
    <mergeCell ref="K92:M92"/>
    <mergeCell ref="G123:K123"/>
    <mergeCell ref="D63:F63"/>
    <mergeCell ref="F43:J43"/>
    <mergeCell ref="D42:E42"/>
    <mergeCell ref="L99:M99"/>
    <mergeCell ref="G69:J69"/>
    <mergeCell ref="E132:G132"/>
    <mergeCell ref="D44:E44"/>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B1:M58"/>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4. 初期全量移行の手順</t>
        </is>
      </c>
    </row>
    <row r="2" ht="4" customHeight="1"/>
    <row r="3" ht="31" customHeight="1">
      <c r="D3" s="7" t="inlineStr">
        <is>
          <t>本章では現行システムを稼働させたまま実施する初期全量移行の手順を定める。作業は週末（土曜）に開始し、日曜中の完了を目標とする（所要時間はリハーサル実測で確定）。各手順のコマンド例は付録A の番号で参照する。</t>
        </is>
      </c>
    </row>
    <row r="4" ht="16" customHeight="1">
      <c r="D4" s="21" t="inlineStr">
        <is>
          <t>表 4-1　初期全量移行の工程と目安時間</t>
        </is>
      </c>
    </row>
    <row r="5" ht="31" customHeight="1">
      <c r="D5" s="8" t="inlineStr">
        <is>
          <t>工程</t>
        </is>
      </c>
      <c r="E5" s="22" t="n"/>
      <c r="F5" s="8" t="inlineStr">
        <is>
          <t>実施場所</t>
        </is>
      </c>
      <c r="G5" s="22" t="n"/>
      <c r="H5" s="8" t="inlineStr">
        <is>
          <t>内容</t>
        </is>
      </c>
      <c r="I5" s="23" t="n"/>
      <c r="J5" s="22" t="n"/>
      <c r="K5" s="8" t="inlineStr">
        <is>
          <t>目安時間（1.3TB）</t>
        </is>
      </c>
      <c r="L5" s="8" t="inlineStr">
        <is>
          <t>備考</t>
        </is>
      </c>
      <c r="M5" s="22" t="n"/>
    </row>
    <row r="6" ht="44.5" customHeight="1">
      <c r="D6" s="10" t="inlineStr">
        <is>
          <t>4.1 エクスポート</t>
        </is>
      </c>
      <c r="E6" s="22" t="n"/>
      <c r="F6" s="10" t="inlineStr">
        <is>
          <t>現行 DB サーバ</t>
        </is>
      </c>
      <c r="G6" s="22" t="n"/>
      <c r="H6" s="10" t="inlineStr">
        <is>
          <t>S0 取得 → メタデータ → データ（バッチ分割、PARALLEL=4）</t>
        </is>
      </c>
      <c r="I6" s="23" t="n"/>
      <c r="J6" s="22" t="n"/>
      <c r="K6" s="10" t="inlineStr">
        <is>
          <r>
            <rPr>
              <rFont val="ＭＳ Ｐゴシック"/>
              <color rgb="00000000"/>
              <sz val="10"/>
            </rPr>
            <t>3～8 時間</t>
          </r>
          <r>
            <rPr>
              <rFont val="ＭＳ Ｐゴシック"/>
              <b val="1"/>
              <color rgb="00FF0000"/>
              <sz val="10"/>
            </rPr>
            <t>【要確認】</t>
          </r>
        </is>
      </c>
      <c r="L6" s="10" t="inlineStr">
        <is>
          <t>expdp の実効速度は概ね 150～400GB/時（I/O・CPU 依存）</t>
        </is>
      </c>
      <c r="M6" s="22" t="n"/>
    </row>
    <row r="7" ht="58" customHeight="1">
      <c r="D7" s="10" t="inlineStr">
        <is>
          <t>4.2 転送</t>
        </is>
      </c>
      <c r="E7" s="22" t="n"/>
      <c r="F7" s="10" t="inlineStr">
        <is>
          <t>新 AP/API サーバ</t>
        </is>
      </c>
      <c r="G7" s="22" t="n"/>
      <c r="H7" s="10" t="inlineStr">
        <is>
          <t>rsync（現行→新サーバ）→ チェックサム → aws s3 cp</t>
        </is>
      </c>
      <c r="I7" s="23" t="n"/>
      <c r="J7" s="22" t="n"/>
      <c r="K7" s="10" t="inlineStr">
        <is>
          <t>2～5 時間</t>
        </is>
      </c>
      <c r="L7" s="10" t="inlineStr">
        <is>
          <t>rsync 100～200MB/秒、S3 アップロードは並列で同程度。エクスポート完了バッチから順次開始可</t>
        </is>
      </c>
      <c r="M7" s="22" t="n"/>
    </row>
    <row r="8" ht="44.5" customHeight="1">
      <c r="D8" s="10" t="inlineStr">
        <is>
          <t>4.3 RDS 取込</t>
        </is>
      </c>
      <c r="E8" s="22" t="n"/>
      <c r="F8" s="10" t="inlineStr">
        <is>
          <t>RDS（新サーバから impdp）</t>
        </is>
      </c>
      <c r="G8" s="22" t="n"/>
      <c r="H8" s="10" t="inlineStr">
        <is>
          <t>メタデータ → バッチごとに download → impdp → 削除 → 索引・制約・トリガー作成</t>
        </is>
      </c>
      <c r="I8" s="23" t="n"/>
      <c r="J8" s="22" t="n"/>
      <c r="K8" s="10" t="inlineStr">
        <is>
          <r>
            <rPr>
              <rFont val="ＭＳ Ｐゴシック"/>
              <color rgb="00000000"/>
              <sz val="10"/>
            </rPr>
            <t>6～12 時間</t>
          </r>
          <r>
            <rPr>
              <rFont val="ＭＳ Ｐゴシック"/>
              <b val="1"/>
              <color rgb="00FF0000"/>
              <sz val="10"/>
            </rPr>
            <t>【要確認】</t>
          </r>
        </is>
      </c>
      <c r="L8" s="10" t="inlineStr">
        <is>
          <t>download 100～200MB/秒、impdp 100～300GB/時、索引作成は PARALLEL</t>
        </is>
      </c>
      <c r="M8" s="22" t="n"/>
    </row>
    <row r="9" ht="31" customHeight="1">
      <c r="D9" s="10" t="inlineStr">
        <is>
          <t>4.4 事後処理</t>
        </is>
      </c>
      <c r="E9" s="22" t="n"/>
      <c r="F9" s="10" t="inlineStr">
        <is>
          <t>RDS</t>
        </is>
      </c>
      <c r="G9" s="22" t="n"/>
      <c r="H9" s="10" t="inlineStr">
        <is>
          <t>再コンパイル、統計取得、オブジェクト再作成、突合、スナップショット</t>
        </is>
      </c>
      <c r="I9" s="23" t="n"/>
      <c r="J9" s="22" t="n"/>
      <c r="K9" s="10" t="inlineStr">
        <is>
          <t>2～3 時間</t>
        </is>
      </c>
      <c r="L9" s="10" t="inlineStr">
        <is>
          <t>統計取得は DEGREE 指定</t>
        </is>
      </c>
      <c r="M9" s="22" t="n"/>
    </row>
    <row r="10" ht="58" customHeight="1">
      <c r="D10" s="10" t="inlineStr">
        <is>
          <t>合計</t>
        </is>
      </c>
      <c r="E10" s="22" t="n"/>
      <c r="F10" s="10" t="inlineStr">
        <is>
          <t>－</t>
        </is>
      </c>
      <c r="G10" s="22" t="n"/>
      <c r="H10" s="10" t="inlineStr">
        <is>
          <t>－</t>
        </is>
      </c>
      <c r="I10" s="23" t="n"/>
      <c r="J10" s="22" t="n"/>
      <c r="K10" s="10" t="inlineStr">
        <is>
          <r>
            <rPr>
              <rFont val="ＭＳ Ｐゴシック"/>
              <color rgb="00000000"/>
              <sz val="10"/>
            </rPr>
            <t>13～28 時間 ⇒ 土曜 9:00 開始で日曜中に完了</t>
          </r>
          <r>
            <rPr>
              <rFont val="ＭＳ Ｐゴシック"/>
              <b val="1"/>
              <color rgb="00FF0000"/>
              <sz val="10"/>
            </rPr>
            <t>【要確認】</t>
          </r>
        </is>
      </c>
      <c r="L10" s="10" t="inlineStr">
        <is>
          <t>リハーサル実測で確定</t>
        </is>
      </c>
      <c r="M10" s="22" t="n"/>
    </row>
    <row r="11" ht="6" customHeight="1"/>
    <row r="12" ht="20" customHeight="1">
      <c r="B12" s="19" t="inlineStr">
        <is>
          <t>4.1. エクスポート（現行 DB サーバ）</t>
        </is>
      </c>
      <c r="C12" s="20" t="n"/>
      <c r="D12" s="20" t="n"/>
      <c r="E12" s="20" t="n"/>
      <c r="F12" s="20" t="n"/>
      <c r="G12" s="20" t="n"/>
      <c r="H12" s="20" t="n"/>
      <c r="I12" s="20" t="n"/>
      <c r="J12" s="20" t="n"/>
      <c r="K12" s="20" t="n"/>
      <c r="L12" s="20" t="n"/>
      <c r="M12" s="20" t="n"/>
    </row>
    <row r="13" ht="17.5" customHeight="1">
      <c r="D13" s="8" t="inlineStr">
        <is>
          <t>No</t>
        </is>
      </c>
      <c r="E13" s="8" t="inlineStr">
        <is>
          <t>作業</t>
        </is>
      </c>
      <c r="F13" s="22" t="n"/>
      <c r="G13" s="8" t="inlineStr">
        <is>
          <t>内容・コマンド（付録A）</t>
        </is>
      </c>
      <c r="H13" s="23" t="n"/>
      <c r="I13" s="23" t="n"/>
      <c r="J13" s="22" t="n"/>
      <c r="K13" s="8" t="inlineStr">
        <is>
          <t>確認事項</t>
        </is>
      </c>
      <c r="L13" s="22" t="n"/>
      <c r="M13" s="8" t="inlineStr">
        <is>
          <t>目安</t>
        </is>
      </c>
    </row>
    <row r="14" ht="44.5" customHeight="1">
      <c r="D14" s="24" t="inlineStr">
        <is>
          <t>1</t>
        </is>
      </c>
      <c r="E14" s="10" t="inlineStr">
        <is>
          <t>開始前確認</t>
        </is>
      </c>
      <c r="F14" s="22" t="n"/>
      <c r="G14" s="10" t="inlineStr">
        <is>
          <t>一時 EBS の空き（df -h /dpump）、UNDO 設定（undo_retention、空き）、アーカイブ領域の空き、実行中の長時間バッチがないこと、変更凍結の開始</t>
        </is>
      </c>
      <c r="H14" s="23" t="n"/>
      <c r="I14" s="23" t="n"/>
      <c r="J14" s="22" t="n"/>
      <c r="K14" s="10" t="inlineStr">
        <is>
          <t>3.8 チェックリスト完了</t>
        </is>
      </c>
      <c r="L14" s="22" t="n"/>
      <c r="M14" s="10" t="inlineStr">
        <is>
          <t>10 分</t>
        </is>
      </c>
    </row>
    <row r="15" ht="44.5" customHeight="1">
      <c r="D15" s="24" t="inlineStr">
        <is>
          <t>2</t>
        </is>
      </c>
      <c r="E15" s="10" t="inlineStr">
        <is>
          <t>基準 SCN の取得</t>
        </is>
      </c>
      <c r="F15" s="22" t="n"/>
      <c r="G15" s="10" t="inlineStr">
        <is>
          <t>get_scn.sql：SELECT current_scn, SCN_TO_TIMESTAMP(current_scn) FROM v$database; → S0・T0 を作業記録台帳へ記録（A-3）</t>
        </is>
      </c>
      <c r="H15" s="23" t="n"/>
      <c r="I15" s="23" t="n"/>
      <c r="J15" s="22" t="n"/>
      <c r="K15" s="10" t="inlineStr">
        <is>
          <t>S0・T0 が記録されていること</t>
        </is>
      </c>
      <c r="L15" s="22" t="n"/>
      <c r="M15" s="10" t="inlineStr">
        <is>
          <t>5 分</t>
        </is>
      </c>
    </row>
    <row r="16" ht="58" customHeight="1">
      <c r="D16" s="24" t="inlineStr">
        <is>
          <t>3</t>
        </is>
      </c>
      <c r="E16" s="10" t="inlineStr">
        <is>
          <t>メタデータ全量エクスポート</t>
        </is>
      </c>
      <c r="F16" s="22" t="n"/>
      <c r="G16" s="10" t="inlineStr">
        <is>
          <t>expdp PARFILE=exp_full_meta.par（SCHEMAS=&lt;全対象スキーマ&gt;、CONTENT=METADATA_ONLY、FLASHBACK_SCN=S0、DIRECTORY=DPUMP_MIG、DUMPFILE=full_meta.dmp、LOGFILE、EXCLUDE=STATISTICS）（A-4）</t>
        </is>
      </c>
      <c r="H16" s="23" t="n"/>
      <c r="I16" s="23" t="n"/>
      <c r="J16" s="22" t="n"/>
      <c r="K16" s="10" t="inlineStr">
        <is>
          <t>ログに ORA- エラーがなく "successfully completed"</t>
        </is>
      </c>
      <c r="L16" s="22" t="n"/>
      <c r="M16" s="10" t="inlineStr">
        <is>
          <t>10～30 分</t>
        </is>
      </c>
    </row>
    <row r="17" ht="85" customHeight="1">
      <c r="D17" s="24" t="inlineStr">
        <is>
          <t>4</t>
        </is>
      </c>
      <c r="E17" s="10" t="inlineStr">
        <is>
          <t>データ全量エクスポート（バッチごと）</t>
        </is>
      </c>
      <c r="F17" s="22" t="n"/>
      <c r="G17" s="10" t="inlineStr">
        <is>
          <t>expdp PARFILE=exp_full_dataNN.par（CONTENT=DATA_ONLY、TABLES=&lt;バッチの表&gt;、FLASHBACK_SCN=S0、PARALLEL=4、FILESIZE=20G、DUMPFILE=full_dataNN_%U.dmp、COMPRESSION=METADATA_ONLY、EXCLUDE=STATISTICS）。nohup で実行し、expdp ATTACH／dba_datapump_jobs で進捗監視（A-4）</t>
        </is>
      </c>
      <c r="H17" s="23" t="n"/>
      <c r="I17" s="23" t="n"/>
      <c r="J17" s="22" t="n"/>
      <c r="K17" s="10" t="inlineStr">
        <is>
          <t>ログの表別行数（exported ... rows）を件数照合の基準として保存。ORA-01555／ORA-31693 が出た場合は同一 S0 で該当バッチを再実行</t>
        </is>
      </c>
      <c r="L17" s="22" t="n"/>
      <c r="M17" s="10" t="inlineStr">
        <is>
          <t>3～8 時間</t>
        </is>
      </c>
    </row>
    <row r="18" ht="31" customHeight="1">
      <c r="D18" s="24" t="inlineStr">
        <is>
          <t>5</t>
        </is>
      </c>
      <c r="E18" s="10" t="inlineStr">
        <is>
          <t>チェックサム作成</t>
        </is>
      </c>
      <c r="F18" s="22" t="n"/>
      <c r="G18" s="10" t="inlineStr">
        <is>
          <t>checksum.sh：sha256sum full_*.dmp &gt; full.sha256（A-5）。ダンプ一覧（ファイル名・サイズ）を記録</t>
        </is>
      </c>
      <c r="H18" s="23" t="n"/>
      <c r="I18" s="23" t="n"/>
      <c r="J18" s="22" t="n"/>
      <c r="K18" s="10" t="inlineStr">
        <is>
          <t>マニフェスト作成</t>
        </is>
      </c>
      <c r="L18" s="22" t="n"/>
      <c r="M18" s="10" t="inlineStr">
        <is>
          <t>30 分（1.3TB の読込）</t>
        </is>
      </c>
    </row>
    <row r="19" ht="31" customHeight="1">
      <c r="D19" s="24" t="inlineStr">
        <is>
          <t>6</t>
        </is>
      </c>
      <c r="E19" s="10" t="inlineStr">
        <is>
          <t>エクスポート結果の記録</t>
        </is>
      </c>
      <c r="F19" s="22" t="n"/>
      <c r="G19" s="10" t="inlineStr">
        <is>
          <t>各ジョブのログを S3（logs/）へも退避。行数集計 CSV を作成（6.2 で使用）</t>
        </is>
      </c>
      <c r="H19" s="23" t="n"/>
      <c r="I19" s="23" t="n"/>
      <c r="J19" s="22" t="n"/>
      <c r="K19" s="10" t="inlineStr"/>
      <c r="L19" s="22" t="n"/>
      <c r="M19" s="10" t="inlineStr">
        <is>
          <t>10 分</t>
        </is>
      </c>
    </row>
    <row r="20" ht="44.5" customHeight="1">
      <c r="D20" s="7" t="inlineStr">
        <is>
          <r>
            <rPr>
              <rFont val="ＭＳ Ｐゴシック"/>
              <color rgb="00000000"/>
              <sz val="10"/>
            </rPr>
            <t>※ PARALLEL の値は現行サーバの CPU コア数・業務負荷に応じて調整する（本番稼働への影響を抑えるため、日中は 2 以下に下げる等）</t>
          </r>
          <r>
            <rPr>
              <rFont val="ＭＳ Ｐゴシック"/>
              <b val="1"/>
              <color rgb="00FF0000"/>
              <sz val="10"/>
            </rPr>
            <t>【要確認】</t>
          </r>
          <r>
            <rPr>
              <rFont val="ＭＳ Ｐゴシック"/>
              <color rgb="00000000"/>
              <sz val="10"/>
            </rPr>
            <t>。※ COMPRESSION=ALL は Advanced Compression オプションのライセンスが確認できた場合のみ使用する（ダンプ容量・転送時間を 1/3～1/4 に削減可能）</t>
          </r>
          <r>
            <rPr>
              <rFont val="ＭＳ Ｐゴシック"/>
              <b val="1"/>
              <color rgb="00FF0000"/>
              <sz val="10"/>
            </rPr>
            <t>【要確認】</t>
          </r>
          <r>
            <rPr>
              <rFont val="ＭＳ Ｐゴシック"/>
              <color rgb="00000000"/>
              <sz val="10"/>
            </rPr>
            <t>。</t>
          </r>
        </is>
      </c>
    </row>
    <row r="21" ht="6" customHeight="1"/>
    <row r="22" ht="20" customHeight="1">
      <c r="B22" s="19" t="inlineStr">
        <is>
          <t>4.2. 転送（現行 → 新 AP/API サーバ → S3）</t>
        </is>
      </c>
      <c r="C22" s="20" t="n"/>
      <c r="D22" s="20" t="n"/>
      <c r="E22" s="20" t="n"/>
      <c r="F22" s="20" t="n"/>
      <c r="G22" s="20" t="n"/>
      <c r="H22" s="20" t="n"/>
      <c r="I22" s="20" t="n"/>
      <c r="J22" s="20" t="n"/>
      <c r="K22" s="20" t="n"/>
      <c r="L22" s="20" t="n"/>
      <c r="M22" s="20" t="n"/>
    </row>
    <row r="23" ht="17.5" customHeight="1">
      <c r="D23" s="8" t="inlineStr">
        <is>
          <t>No</t>
        </is>
      </c>
      <c r="E23" s="8" t="inlineStr">
        <is>
          <t>作業</t>
        </is>
      </c>
      <c r="F23" s="22" t="n"/>
      <c r="G23" s="8" t="inlineStr">
        <is>
          <t>内容・コマンド（付録A）</t>
        </is>
      </c>
      <c r="H23" s="23" t="n"/>
      <c r="I23" s="23" t="n"/>
      <c r="J23" s="22" t="n"/>
      <c r="K23" s="8" t="inlineStr">
        <is>
          <t>確認事項</t>
        </is>
      </c>
      <c r="L23" s="22" t="n"/>
      <c r="M23" s="8" t="inlineStr">
        <is>
          <t>目安</t>
        </is>
      </c>
    </row>
    <row r="24" ht="58" customHeight="1">
      <c r="D24" s="24" t="inlineStr">
        <is>
          <t>1</t>
        </is>
      </c>
      <c r="E24" s="10" t="inlineStr">
        <is>
          <t>rsync による取得</t>
        </is>
      </c>
      <c r="F24" s="22" t="n"/>
      <c r="G24" s="10" t="inlineStr">
        <is>
          <t>新サーバで pull_and_upload.sh：rsync -av --partial --append-verify -e "ssh &lt;互換オプション&gt;" oracle@&lt;現行&gt;:/dpump/full_dataNN_*.dmp /disk3/dpump/（A-6）。バッチ単位でエクスポート完了後に順次実行</t>
        </is>
      </c>
      <c r="H24" s="23" t="n"/>
      <c r="I24" s="23" t="n"/>
      <c r="J24" s="22" t="n"/>
      <c r="K24" s="10" t="inlineStr">
        <is>
          <t>rsync 終了コード 0、ファイル数・サイズ一致</t>
        </is>
      </c>
      <c r="L24" s="22" t="n"/>
      <c r="M24" s="10" t="inlineStr">
        <is>
          <t>2～4 時間</t>
        </is>
      </c>
    </row>
    <row r="25" ht="17.5" customHeight="1">
      <c r="D25" s="24" t="inlineStr">
        <is>
          <t>2</t>
        </is>
      </c>
      <c r="E25" s="10" t="inlineStr">
        <is>
          <t>チェックサム照合</t>
        </is>
      </c>
      <c r="F25" s="22" t="n"/>
      <c r="G25" s="10" t="inlineStr">
        <is>
          <t>sha256sum -c full.sha256（A-5）</t>
        </is>
      </c>
      <c r="H25" s="23" t="n"/>
      <c r="I25" s="23" t="n"/>
      <c r="J25" s="22" t="n"/>
      <c r="K25" s="10" t="inlineStr">
        <is>
          <t>全ファイル OK</t>
        </is>
      </c>
      <c r="L25" s="22" t="n"/>
      <c r="M25" s="10" t="inlineStr">
        <is>
          <t>30 分</t>
        </is>
      </c>
    </row>
    <row r="26" ht="58" customHeight="1">
      <c r="D26" s="24" t="inlineStr">
        <is>
          <t>3</t>
        </is>
      </c>
      <c r="E26" s="10" t="inlineStr">
        <is>
          <t>S3 へアップロード</t>
        </is>
      </c>
      <c r="F26" s="22" t="n"/>
      <c r="G26" s="10" t="inlineStr">
        <is>
          <t>aws s3 cp /disk3/dpump/ s3://&lt;バケット&gt;/full/data/batchNN/ --recursive --sse aws:kms --sse-kms-key-id &lt;KMS&gt; --checksum-algorithm SHA256（A-7）。マルチパート並列設定は 3.3</t>
        </is>
      </c>
      <c r="H26" s="23" t="n"/>
      <c r="I26" s="23" t="n"/>
      <c r="J26" s="22" t="n"/>
      <c r="K26" s="10" t="inlineStr">
        <is>
          <t>aws s3 ls --summarize でファイル数・合計サイズが一致。ログ・マニフェストも logs/ へ</t>
        </is>
      </c>
      <c r="L26" s="22" t="n"/>
      <c r="M26" s="10" t="inlineStr">
        <is>
          <t>2～4 時間</t>
        </is>
      </c>
    </row>
    <row r="27" ht="31" customHeight="1">
      <c r="D27" s="24" t="inlineStr">
        <is>
          <t>4</t>
        </is>
      </c>
      <c r="E27" s="10" t="inlineStr">
        <is>
          <t>中継領域の扱い</t>
        </is>
      </c>
      <c r="F27" s="22" t="n"/>
      <c r="G27" s="10" t="inlineStr">
        <is>
          <t>RDS 取込完了までは中継領域のダンプを保持（再送用）。取込完了後に削除</t>
        </is>
      </c>
      <c r="H27" s="23" t="n"/>
      <c r="I27" s="23" t="n"/>
      <c r="J27" s="22" t="n"/>
      <c r="K27" s="10" t="inlineStr"/>
      <c r="L27" s="22" t="n"/>
      <c r="M27" s="10" t="inlineStr"/>
    </row>
    <row r="28" ht="6" customHeight="1"/>
    <row r="29" ht="20" customHeight="1">
      <c r="B29" s="19" t="inlineStr">
        <is>
          <t>4.3. RDS への取込（分割）</t>
        </is>
      </c>
      <c r="C29" s="20" t="n"/>
      <c r="D29" s="20" t="n"/>
      <c r="E29" s="20" t="n"/>
      <c r="F29" s="20" t="n"/>
      <c r="G29" s="20" t="n"/>
      <c r="H29" s="20" t="n"/>
      <c r="I29" s="20" t="n"/>
      <c r="J29" s="20" t="n"/>
      <c r="K29" s="20" t="n"/>
      <c r="L29" s="20" t="n"/>
      <c r="M29" s="20" t="n"/>
    </row>
    <row r="30" ht="17.5" customHeight="1">
      <c r="D30" s="8" t="inlineStr">
        <is>
          <t>No</t>
        </is>
      </c>
      <c r="E30" s="8" t="inlineStr">
        <is>
          <t>作業</t>
        </is>
      </c>
      <c r="F30" s="22" t="n"/>
      <c r="G30" s="8" t="inlineStr">
        <is>
          <t>内容・コマンド（付録A）</t>
        </is>
      </c>
      <c r="H30" s="23" t="n"/>
      <c r="I30" s="23" t="n"/>
      <c r="J30" s="22" t="n"/>
      <c r="K30" s="8" t="inlineStr">
        <is>
          <t>確認事項</t>
        </is>
      </c>
      <c r="L30" s="22" t="n"/>
      <c r="M30" s="8" t="inlineStr">
        <is>
          <t>目安</t>
        </is>
      </c>
    </row>
    <row r="31" ht="58" customHeight="1">
      <c r="D31" s="24" t="inlineStr">
        <is>
          <t>1</t>
        </is>
      </c>
      <c r="E31" s="10" t="inlineStr">
        <is>
          <t>メタデータのダウンロード</t>
        </is>
      </c>
      <c r="F31" s="22" t="n"/>
      <c r="G31" s="10" t="inlineStr">
        <is>
          <t>SELECT rdsadmin.rdsadmin_s3_tasks.download_from_s3(p_bucket_name=&gt;'&lt;バケット&gt;', p_s3_prefix=&gt;'full/meta/', p_directory_name=&gt;'DATA_PUMP_DIR') FROM dual; → タスク ID をログで確認（A-8）</t>
        </is>
      </c>
      <c r="H31" s="23" t="n"/>
      <c r="I31" s="23" t="n"/>
      <c r="J31" s="22" t="n"/>
      <c r="K31" s="10" t="inlineStr">
        <is>
          <t>dbtask-&lt;ID&gt;.log に "finished successfully"、listdir でサイズ一致</t>
        </is>
      </c>
      <c r="L31" s="22" t="n"/>
      <c r="M31" s="10" t="inlineStr">
        <is>
          <t>5 分</t>
        </is>
      </c>
    </row>
    <row r="32" ht="71.5" customHeight="1">
      <c r="D32" s="24" t="inlineStr">
        <is>
          <t>2</t>
        </is>
      </c>
      <c r="E32" s="10" t="inlineStr">
        <is>
          <t>メタデータ取込（第 1 段）</t>
        </is>
      </c>
      <c r="F32" s="22" t="n"/>
      <c r="G32" s="10" t="inlineStr">
        <is>
          <t>impdp &lt;user&gt;@&lt;RDS&gt; PARFILE=imp_meta_pre.par（DUMPFILE=full_meta.dmp、DIRECTORY=DATA_PUMP_DIR、EXCLUDE=INDEX,CONSTRAINT,REF_CONSTRAINT,TRIGGER,STATISTICS、TRANSFORM=SEGMENT_ATTRIBUTES:N は使用しない（表領域同名のため）、LOGFILE）（A-9）</t>
        </is>
      </c>
      <c r="H32" s="23" t="n"/>
      <c r="I32" s="23" t="n"/>
      <c r="J32" s="22" t="n"/>
      <c r="K32" s="10" t="inlineStr">
        <is>
          <t>ORA-31684（既存ユーザ）以外のエラーがないこと。表・シーケンス・ビュー・PL/SQL が作成されていること</t>
        </is>
      </c>
      <c r="L32" s="22" t="n"/>
      <c r="M32" s="10" t="inlineStr">
        <is>
          <t>10～30 分</t>
        </is>
      </c>
    </row>
    <row r="33" ht="44.5" customHeight="1">
      <c r="D33" s="24" t="inlineStr">
        <is>
          <t>3</t>
        </is>
      </c>
      <c r="E33" s="10" t="inlineStr">
        <is>
          <t>データバッチのダウンロード</t>
        </is>
      </c>
      <c r="F33" s="22" t="n"/>
      <c r="G33" s="10" t="inlineStr">
        <is>
          <t>download_from_s3（p_s3_prefix=&gt;'full/data/batchNN/'）→ タスクログ確認 → listdir でファイル数・サイズ照合（A-8）</t>
        </is>
      </c>
      <c r="H33" s="23" t="n"/>
      <c r="I33" s="23" t="n"/>
      <c r="J33" s="22" t="n"/>
      <c r="K33" s="10" t="inlineStr">
        <is>
          <t>FreeStorageSpace（CloudWatch）が下限を割らないこと</t>
        </is>
      </c>
      <c r="L33" s="22" t="n"/>
      <c r="M33" s="10" t="inlineStr">
        <is>
          <t>バッチあたり 30～60 分</t>
        </is>
      </c>
    </row>
    <row r="34" ht="44.5" customHeight="1">
      <c r="D34" s="24" t="inlineStr">
        <is>
          <t>4</t>
        </is>
      </c>
      <c r="E34" s="10" t="inlineStr">
        <is>
          <t>データバッチの取込</t>
        </is>
      </c>
      <c r="F34" s="22" t="n"/>
      <c r="G34" s="10" t="inlineStr">
        <is>
          <t>impdp PARFILE=imp_dataNN.par（CONTENT=DATA_ONLY、DUMPFILE=full_dataNN_%U.dmp、PARALLEL=4、TABLE_EXISTS_ACTION=APPEND、LOGFILE）（A-9）</t>
        </is>
      </c>
      <c r="H34" s="23" t="n"/>
      <c r="I34" s="23" t="n"/>
      <c r="J34" s="22" t="n"/>
      <c r="K34" s="10" t="inlineStr">
        <is>
          <t>ログの表別行数が expdp ログと一致。ORA- エラー 0 件</t>
        </is>
      </c>
      <c r="L34" s="22" t="n"/>
      <c r="M34" s="10" t="inlineStr">
        <is>
          <t>バッチあたり 1～3 時間</t>
        </is>
      </c>
    </row>
    <row r="35" ht="44.5" customHeight="1">
      <c r="D35" s="24" t="inlineStr">
        <is>
          <t>5</t>
        </is>
      </c>
      <c r="E35" s="10" t="inlineStr">
        <is>
          <t>ダンプの削除</t>
        </is>
      </c>
      <c r="F35" s="22" t="n"/>
      <c r="G35" s="10" t="inlineStr">
        <is>
          <t>rds_cleanup.sql：EXEC UTL_FILE.FREMOVE('DATA_PUMP_DIR','full_dataNN_01.dmp'); …（A-10）。listdir で削除確認</t>
        </is>
      </c>
      <c r="H35" s="23" t="n"/>
      <c r="I35" s="23" t="n"/>
      <c r="J35" s="22" t="n"/>
      <c r="K35" s="10" t="inlineStr">
        <is>
          <t>FreeStorageSpace が回復</t>
        </is>
      </c>
      <c r="L35" s="22" t="n"/>
      <c r="M35" s="10" t="inlineStr">
        <is>
          <t>5 分</t>
        </is>
      </c>
    </row>
    <row r="36" ht="31" customHeight="1">
      <c r="D36" s="24" t="inlineStr">
        <is>
          <t>6</t>
        </is>
      </c>
      <c r="E36" s="10" t="inlineStr">
        <is>
          <t>次バッチ</t>
        </is>
      </c>
      <c r="F36" s="22" t="n"/>
      <c r="G36" s="10" t="inlineStr">
        <is>
          <t>No.3～5 を全バッチ分繰り返す（ダウンロードは前バッチの取込中に並行可、空き容量が許す範囲）</t>
        </is>
      </c>
      <c r="H36" s="23" t="n"/>
      <c r="I36" s="23" t="n"/>
      <c r="J36" s="22" t="n"/>
      <c r="K36" s="10" t="inlineStr"/>
      <c r="L36" s="22" t="n"/>
      <c r="M36" s="10" t="inlineStr"/>
    </row>
    <row r="37" ht="58" customHeight="1">
      <c r="D37" s="24" t="inlineStr">
        <is>
          <t>7</t>
        </is>
      </c>
      <c r="E37" s="10" t="inlineStr">
        <is>
          <t>索引・制約・トリガーの作成（第 2 段）</t>
        </is>
      </c>
      <c r="F37" s="22" t="n"/>
      <c r="G37" s="10" t="inlineStr">
        <is>
          <t>impdp PARFILE=imp_meta_post.par（DUMPFILE=full_meta.dmp、INCLUDE=INDEX,CONSTRAINT,REF_CONSTRAINT,TRIGGER、PARALLEL=4）（A-9）</t>
        </is>
      </c>
      <c r="H37" s="23" t="n"/>
      <c r="I37" s="23" t="n"/>
      <c r="J37" s="22" t="n"/>
      <c r="K37" s="10" t="inlineStr">
        <is>
          <t>索引が VALID、制約が ENABLED／VALIDATED、トリガーが ENABLED（ジョブ抑止は 3.3 表 3-9 No.8）</t>
        </is>
      </c>
      <c r="L37" s="22" t="n"/>
      <c r="M37" s="10" t="inlineStr">
        <is>
          <t>1～3 時間</t>
        </is>
      </c>
    </row>
    <row r="38" ht="44.5" customHeight="1">
      <c r="D38" s="24" t="inlineStr">
        <is>
          <t>8</t>
        </is>
      </c>
      <c r="E38" s="10" t="inlineStr">
        <is>
          <t>取込ログの退避</t>
        </is>
      </c>
      <c r="F38" s="22" t="n"/>
      <c r="G38" s="10" t="inlineStr">
        <is>
          <t>rdsadmin_s3_tasks.upload_to_s3 で DATA_PUMP_DIR のログを S3 logs/ へ退避後、DATA_PUMP_DIR を空にする</t>
        </is>
      </c>
      <c r="H38" s="23" t="n"/>
      <c r="I38" s="23" t="n"/>
      <c r="J38" s="22" t="n"/>
      <c r="K38" s="10" t="inlineStr"/>
      <c r="L38" s="22" t="n"/>
      <c r="M38" s="10" t="inlineStr">
        <is>
          <t>10 分</t>
        </is>
      </c>
    </row>
    <row r="39" ht="31" customHeight="1">
      <c r="D39" s="7" t="inlineStr">
        <is>
          <t>※ impdp は新 AP/API サーバの Instant Client から RDS に接続して実行する（ダンプは RDS 側の DATA_PUMP_DIR を参照）。Instant Client を使用しない場合は DBMS_DATAPUMP（PL/SQL）で同等の処理を行う（A-9 参考）。</t>
        </is>
      </c>
    </row>
    <row r="40" ht="6" customHeight="1"/>
    <row r="41" ht="20" customHeight="1">
      <c r="B41" s="19" t="inlineStr">
        <is>
          <t>4.4. 事後処理・基点スナップショット</t>
        </is>
      </c>
      <c r="C41" s="20" t="n"/>
      <c r="D41" s="20" t="n"/>
      <c r="E41" s="20" t="n"/>
      <c r="F41" s="20" t="n"/>
      <c r="G41" s="20" t="n"/>
      <c r="H41" s="20" t="n"/>
      <c r="I41" s="20" t="n"/>
      <c r="J41" s="20" t="n"/>
      <c r="K41" s="20" t="n"/>
      <c r="L41" s="20" t="n"/>
      <c r="M41" s="20" t="n"/>
    </row>
    <row r="42" ht="17.5" customHeight="1">
      <c r="D42" s="8" t="inlineStr">
        <is>
          <t>No</t>
        </is>
      </c>
      <c r="E42" s="8" t="inlineStr">
        <is>
          <t>作業</t>
        </is>
      </c>
      <c r="F42" s="22" t="n"/>
      <c r="G42" s="8" t="inlineStr">
        <is>
          <t>内容・コマンド（付録A）</t>
        </is>
      </c>
      <c r="H42" s="23" t="n"/>
      <c r="I42" s="23" t="n"/>
      <c r="J42" s="22" t="n"/>
      <c r="K42" s="8" t="inlineStr">
        <is>
          <t>確認事項</t>
        </is>
      </c>
      <c r="L42" s="22" t="n"/>
      <c r="M42" s="8" t="inlineStr">
        <is>
          <t>目安</t>
        </is>
      </c>
    </row>
    <row r="43" ht="44.5" customHeight="1">
      <c r="D43" s="24" t="inlineStr">
        <is>
          <t>1</t>
        </is>
      </c>
      <c r="E43" s="10" t="inlineStr">
        <is>
          <t>無効オブジェクトの再コンパイル</t>
        </is>
      </c>
      <c r="F43" s="22" t="n"/>
      <c r="G43" s="10" t="inlineStr">
        <is>
          <t>EXEC UTL_RECOMP.RECOMP_PARALLEL(4); 残った無効オブジェクトを現行の無効一覧と比較（A-11）</t>
        </is>
      </c>
      <c r="H43" s="23" t="n"/>
      <c r="I43" s="23" t="n"/>
      <c r="J43" s="22" t="n"/>
      <c r="K43" s="10" t="inlineStr">
        <is>
          <t>現行より増えていないこと。増分は原因（DB リンク・SYS 権限等）を特定し対処</t>
        </is>
      </c>
      <c r="L43" s="22" t="n"/>
      <c r="M43" s="10" t="inlineStr">
        <is>
          <t>10～30 分</t>
        </is>
      </c>
    </row>
    <row r="44" ht="31" customHeight="1">
      <c r="D44" s="24" t="inlineStr">
        <is>
          <t>2</t>
        </is>
      </c>
      <c r="E44" s="10" t="inlineStr">
        <is>
          <t>SYS 所有オブジェクト・PUBLIC シノニム・権限の再作成</t>
        </is>
      </c>
      <c r="F44" s="22" t="n"/>
      <c r="G44" s="10" t="inlineStr">
        <is>
          <t>事前調査 No.8 で用意したスクリプトを実行（rdsadmin_util.grant_sys_object を含む）</t>
        </is>
      </c>
      <c r="H44" s="23" t="n"/>
      <c r="I44" s="23" t="n"/>
      <c r="J44" s="22" t="n"/>
      <c r="K44" s="10" t="inlineStr"/>
      <c r="L44" s="22" t="n"/>
      <c r="M44" s="10" t="inlineStr">
        <is>
          <t>10 分</t>
        </is>
      </c>
    </row>
    <row r="45" ht="44.5" customHeight="1">
      <c r="D45" s="24" t="inlineStr">
        <is>
          <t>3</t>
        </is>
      </c>
      <c r="E45" s="10" t="inlineStr">
        <is>
          <t>DB リンク・MView・ジョブ</t>
        </is>
      </c>
      <c r="F45" s="22" t="n"/>
      <c r="G45" s="10" t="inlineStr">
        <is>
          <r>
            <rPr>
              <rFont val="ＭＳ Ｐゴシック"/>
              <color rgb="00000000"/>
              <sz val="10"/>
            </rPr>
            <t>DB リンクの再作成（RDS からの到達性が必要</t>
          </r>
          <r>
            <rPr>
              <rFont val="ＭＳ Ｐゴシック"/>
              <b val="1"/>
              <color rgb="00FF0000"/>
              <sz val="10"/>
            </rPr>
            <t>【要確認】</t>
          </r>
          <r>
            <rPr>
              <rFont val="ＭＳ Ｐゴシック"/>
              <color rgb="00000000"/>
              <sz val="10"/>
            </rPr>
            <t>）、MView の完全リフレッシュ、DBMS_SCHEDULER ジョブは DISABLE 状態で保持</t>
          </r>
        </is>
      </c>
      <c r="H45" s="23" t="n"/>
      <c r="I45" s="23" t="n"/>
      <c r="J45" s="22" t="n"/>
      <c r="K45" s="10" t="inlineStr"/>
      <c r="L45" s="22" t="n"/>
      <c r="M45" s="10" t="inlineStr">
        <is>
          <t>30 分</t>
        </is>
      </c>
    </row>
    <row r="46" ht="44.5" customHeight="1">
      <c r="D46" s="24" t="inlineStr">
        <is>
          <t>4</t>
        </is>
      </c>
      <c r="E46" s="10" t="inlineStr">
        <is>
          <t>統計情報の取得</t>
        </is>
      </c>
      <c r="F46" s="22" t="n"/>
      <c r="G46" s="10" t="inlineStr">
        <is>
          <t>DBMS_STATS.GATHER_SCHEMA_STATS（各スキーマ、DEGREE=&gt;4、CASCADE=&gt;TRUE）、DBMS_STATS.GATHER_DICTIONARY_STATS、GATHER_FIXED_OBJECTS_STATS（A-11）</t>
        </is>
      </c>
      <c r="H46" s="23" t="n"/>
      <c r="I46" s="23" t="n"/>
      <c r="J46" s="22" t="n"/>
      <c r="K46" s="10" t="inlineStr"/>
      <c r="L46" s="22" t="n"/>
      <c r="M46" s="10" t="inlineStr">
        <is>
          <t>1～2 時間</t>
        </is>
      </c>
    </row>
    <row r="47" ht="44.5" customHeight="1">
      <c r="D47" s="24" t="inlineStr">
        <is>
          <t>5</t>
        </is>
      </c>
      <c r="E47" s="10" t="inlineStr">
        <is>
          <t>突合（6.2）</t>
        </is>
      </c>
      <c r="F47" s="22" t="n"/>
      <c r="G47" s="10" t="inlineStr">
        <is>
          <t>オブジェクト数（種別別）、件数（expdp ログ vs RDS COUNT）、制約・索引・トリガー状態、シーケンス、権限を突合し結果を記録</t>
        </is>
      </c>
      <c r="H47" s="23" t="n"/>
      <c r="I47" s="23" t="n"/>
      <c r="J47" s="22" t="n"/>
      <c r="K47" s="10" t="inlineStr">
        <is>
          <t>不一致 0 件（説明可能な差異を除く）</t>
        </is>
      </c>
      <c r="L47" s="22" t="n"/>
      <c r="M47" s="10" t="inlineStr">
        <is>
          <t>30～60 分</t>
        </is>
      </c>
    </row>
    <row r="48" ht="31" customHeight="1">
      <c r="D48" s="24" t="inlineStr">
        <is>
          <t>6</t>
        </is>
      </c>
      <c r="E48" s="10" t="inlineStr">
        <is>
          <t>DATA_PUMP_DIR・中継領域の整理</t>
        </is>
      </c>
      <c r="F48" s="22" t="n"/>
      <c r="G48" s="10" t="inlineStr">
        <is>
          <t>DATA_PUMP_DIR を空にする。中継領域のダンプは基点スナップショット取得まで保持</t>
        </is>
      </c>
      <c r="H48" s="23" t="n"/>
      <c r="I48" s="23" t="n"/>
      <c r="J48" s="22" t="n"/>
      <c r="K48" s="10" t="inlineStr"/>
      <c r="L48" s="22" t="n"/>
      <c r="M48" s="10" t="inlineStr">
        <is>
          <t>10 分</t>
        </is>
      </c>
    </row>
    <row r="49" ht="58" customHeight="1">
      <c r="D49" s="24" t="inlineStr">
        <is>
          <t>7</t>
        </is>
      </c>
      <c r="E49" s="10" t="inlineStr">
        <is>
          <t>基点スナップショットの取得</t>
        </is>
      </c>
      <c r="F49" s="22" t="n"/>
      <c r="G49" s="10" t="inlineStr">
        <is>
          <t>aws rds create-db-snapshot --db-instance-identifier icdbh01 --db-snapshot-identifier icdbh01-baseline-YYYYMMDD（A-18）。ステータス available を確認</t>
        </is>
      </c>
      <c r="H49" s="23" t="n"/>
      <c r="I49" s="23" t="n"/>
      <c r="J49" s="22" t="n"/>
      <c r="K49" s="10" t="inlineStr">
        <is>
          <t>スナップショット作成完了</t>
        </is>
      </c>
      <c r="L49" s="22" t="n"/>
      <c r="M49" s="10" t="inlineStr">
        <is>
          <t>30～60 分</t>
        </is>
      </c>
    </row>
    <row r="50" ht="31" customHeight="1">
      <c r="D50" s="24" t="inlineStr">
        <is>
          <t>8</t>
        </is>
      </c>
      <c r="E50" s="10" t="inlineStr">
        <is>
          <t>接続設定の切替（検証用）</t>
        </is>
      </c>
      <c r="F50" s="22" t="n"/>
      <c r="G50" s="10" t="inlineStr">
        <is>
          <t>新 AP/API サーバ・Data Loader の接続定義を RDS に向け、検証を開始（6 章）</t>
        </is>
      </c>
      <c r="H50" s="23" t="n"/>
      <c r="I50" s="23" t="n"/>
      <c r="J50" s="22" t="n"/>
      <c r="K50" s="10" t="inlineStr"/>
      <c r="L50" s="22" t="n"/>
      <c r="M50" s="10" t="inlineStr"/>
    </row>
    <row r="51" ht="31" customHeight="1">
      <c r="D51" s="24" t="inlineStr">
        <is>
          <t>9</t>
        </is>
      </c>
      <c r="E51" s="10" t="inlineStr">
        <is>
          <t>現行側の後始末</t>
        </is>
      </c>
      <c r="F51" s="22" t="n"/>
      <c r="G51" s="10" t="inlineStr">
        <is>
          <t>UNDO 設定を元に戻す（undo_retention）。一時 EBS のダンプは差分移行まで保持（再送用）。expdp ログを保管</t>
        </is>
      </c>
      <c r="H51" s="23" t="n"/>
      <c r="I51" s="23" t="n"/>
      <c r="J51" s="22" t="n"/>
      <c r="K51" s="10" t="inlineStr"/>
      <c r="L51" s="22" t="n"/>
      <c r="M51" s="10" t="inlineStr"/>
    </row>
    <row r="52" ht="6" customHeight="1"/>
    <row r="53" ht="20" customHeight="1">
      <c r="B53" s="19" t="inlineStr">
        <is>
          <t>4.5. 初期全量移行 完了判定</t>
        </is>
      </c>
      <c r="C53" s="20" t="n"/>
      <c r="D53" s="20" t="n"/>
      <c r="E53" s="20" t="n"/>
      <c r="F53" s="20" t="n"/>
      <c r="G53" s="20" t="n"/>
      <c r="H53" s="20" t="n"/>
      <c r="I53" s="20" t="n"/>
      <c r="J53" s="20" t="n"/>
      <c r="K53" s="20" t="n"/>
      <c r="L53" s="20" t="n"/>
      <c r="M53" s="20" t="n"/>
    </row>
    <row r="54" ht="17.5" customHeight="1">
      <c r="D54" s="7" t="inlineStr">
        <is>
          <t>・全バッチの取込が完了し、expdp ログの行数と RDS の件数が全表で一致していること。</t>
        </is>
      </c>
    </row>
    <row r="55" ht="17.5" customHeight="1">
      <c r="D55" s="7" t="inlineStr">
        <is>
          <t>・オブジェクト数（種別別）が現行と一致し（SYS 所有分・意図的な除外を除く）、無効オブジェクトが現行以下であること。</t>
        </is>
      </c>
    </row>
    <row r="56" ht="17.5" customHeight="1">
      <c r="D56" s="7" t="inlineStr">
        <is>
          <t>・索引 VALID／制約 ENABLED・VALIDATED／トリガー ENABLED（ジョブは DISABLE）であること。</t>
        </is>
      </c>
    </row>
    <row r="57" ht="17.5" customHeight="1">
      <c r="D57" s="7" t="inlineStr">
        <is>
          <t>・基点スナップショットが取得済みであること（差分移行前の復元元）。</t>
        </is>
      </c>
    </row>
    <row r="58" ht="31" customHeight="1">
      <c r="D58" s="7" t="inlineStr">
        <is>
          <t>・上記を満たさない場合は、該当表・オブジェクトの再取込（バッチ単位）または全量やり直しを判断する。現行システムには影響しないため、業務停止を伴わずに再実施できる。</t>
        </is>
      </c>
    </row>
  </sheetData>
  <mergeCells count="131">
    <mergeCell ref="K49:L49"/>
    <mergeCell ref="K24:L24"/>
    <mergeCell ref="K33:L33"/>
    <mergeCell ref="E23:F23"/>
    <mergeCell ref="D39:M39"/>
    <mergeCell ref="G47:J47"/>
    <mergeCell ref="B53:M53"/>
    <mergeCell ref="G32:J32"/>
    <mergeCell ref="K26:L26"/>
    <mergeCell ref="G46:J46"/>
    <mergeCell ref="D6:E6"/>
    <mergeCell ref="K35:L35"/>
    <mergeCell ref="E51:F51"/>
    <mergeCell ref="K50:L50"/>
    <mergeCell ref="L5:M5"/>
    <mergeCell ref="E34:F34"/>
    <mergeCell ref="D7:E7"/>
    <mergeCell ref="H5:J5"/>
    <mergeCell ref="E49:F49"/>
    <mergeCell ref="K42:L42"/>
    <mergeCell ref="E27:F27"/>
    <mergeCell ref="E36:F36"/>
    <mergeCell ref="D57:M57"/>
    <mergeCell ref="G18:J18"/>
    <mergeCell ref="G34:J34"/>
    <mergeCell ref="K37:L37"/>
    <mergeCell ref="K13:L13"/>
    <mergeCell ref="K30:L30"/>
    <mergeCell ref="L7:M7"/>
    <mergeCell ref="D10:E10"/>
    <mergeCell ref="F10:G10"/>
    <mergeCell ref="D3:M3"/>
    <mergeCell ref="K15:L15"/>
    <mergeCell ref="F6:G6"/>
    <mergeCell ref="E14:F14"/>
    <mergeCell ref="E48:F48"/>
    <mergeCell ref="D55:M55"/>
    <mergeCell ref="H7:J7"/>
    <mergeCell ref="G44:J44"/>
    <mergeCell ref="K51:L51"/>
    <mergeCell ref="E38:F38"/>
    <mergeCell ref="G31:J31"/>
    <mergeCell ref="D54:M54"/>
    <mergeCell ref="F5:G5"/>
    <mergeCell ref="K32:L32"/>
    <mergeCell ref="K43:L43"/>
    <mergeCell ref="G48:J48"/>
    <mergeCell ref="G23:J23"/>
    <mergeCell ref="K27:L27"/>
    <mergeCell ref="G38:J38"/>
    <mergeCell ref="E26:F26"/>
    <mergeCell ref="D9:E9"/>
    <mergeCell ref="G45:J45"/>
    <mergeCell ref="F9:G9"/>
    <mergeCell ref="K17:L17"/>
    <mergeCell ref="E16:F16"/>
    <mergeCell ref="L6:M6"/>
    <mergeCell ref="E25:F25"/>
    <mergeCell ref="G49:J49"/>
    <mergeCell ref="K19:L19"/>
    <mergeCell ref="G24:J24"/>
    <mergeCell ref="G33:J33"/>
    <mergeCell ref="E18:F18"/>
    <mergeCell ref="H6:J6"/>
    <mergeCell ref="K16:L16"/>
    <mergeCell ref="E50:F50"/>
    <mergeCell ref="K25:L25"/>
    <mergeCell ref="G26:J26"/>
    <mergeCell ref="D58:M58"/>
    <mergeCell ref="G35:J35"/>
    <mergeCell ref="G16:J16"/>
    <mergeCell ref="K45:L45"/>
    <mergeCell ref="G25:J25"/>
    <mergeCell ref="F7:G7"/>
    <mergeCell ref="E44:F44"/>
    <mergeCell ref="K47:L47"/>
    <mergeCell ref="K44:L44"/>
    <mergeCell ref="E13:F13"/>
    <mergeCell ref="D20:M20"/>
    <mergeCell ref="K31:L31"/>
    <mergeCell ref="K46:L46"/>
    <mergeCell ref="L8:M8"/>
    <mergeCell ref="E31:F31"/>
    <mergeCell ref="F8:G8"/>
    <mergeCell ref="E15:F15"/>
    <mergeCell ref="E46:F46"/>
    <mergeCell ref="L10:M10"/>
    <mergeCell ref="H8:J8"/>
    <mergeCell ref="K23:L23"/>
    <mergeCell ref="G37:J37"/>
    <mergeCell ref="L9:M9"/>
    <mergeCell ref="G13:J13"/>
    <mergeCell ref="H10:J10"/>
    <mergeCell ref="E32:F32"/>
    <mergeCell ref="D5:E5"/>
    <mergeCell ref="B22:M22"/>
    <mergeCell ref="H9:J9"/>
    <mergeCell ref="G15:J15"/>
    <mergeCell ref="K18:L18"/>
    <mergeCell ref="B12:M12"/>
    <mergeCell ref="E43:F43"/>
    <mergeCell ref="K34:L34"/>
    <mergeCell ref="E24:F24"/>
    <mergeCell ref="D56:M56"/>
    <mergeCell ref="E33:F33"/>
    <mergeCell ref="G51:J51"/>
    <mergeCell ref="E42:F42"/>
    <mergeCell ref="B1:M1"/>
    <mergeCell ref="E17:F17"/>
    <mergeCell ref="K36:L36"/>
    <mergeCell ref="B29:M29"/>
    <mergeCell ref="G50:J50"/>
    <mergeCell ref="E35:F35"/>
    <mergeCell ref="E19:F19"/>
    <mergeCell ref="G43:J43"/>
    <mergeCell ref="G27:J27"/>
    <mergeCell ref="G36:J36"/>
    <mergeCell ref="G42:J42"/>
    <mergeCell ref="E30:F30"/>
    <mergeCell ref="G17:J17"/>
    <mergeCell ref="E45:F45"/>
    <mergeCell ref="B41:M41"/>
    <mergeCell ref="K14:L14"/>
    <mergeCell ref="G19:J19"/>
    <mergeCell ref="K48:L48"/>
    <mergeCell ref="D8:E8"/>
    <mergeCell ref="K38:L38"/>
    <mergeCell ref="E37:F37"/>
    <mergeCell ref="G30:J30"/>
    <mergeCell ref="E47:F47"/>
    <mergeCell ref="G14:J14"/>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B1:M112"/>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5. 差分移行・本番切替の手順</t>
        </is>
      </c>
    </row>
    <row r="2" ht="4" customHeight="1"/>
    <row r="3" ht="31" customHeight="1">
      <c r="D3" s="7" t="inlineStr">
        <is>
          <t>本章では、初期全量移行から約 1 週間後に実施する差分移行と本番切替の方式・手順を定める。業務停止時間は 4 時間以内とし、切替前日までに完了できる作業（RDS の復元、接続設定、事前チェック）は停止時間の外で実施する。</t>
        </is>
      </c>
    </row>
    <row r="4" ht="6" customHeight="1"/>
    <row r="5" ht="20" customHeight="1">
      <c r="B5" s="19" t="inlineStr">
        <is>
          <t>5.1. 差分方式の判定基準</t>
        </is>
      </c>
      <c r="C5" s="20" t="n"/>
      <c r="D5" s="20" t="n"/>
      <c r="E5" s="20" t="n"/>
      <c r="F5" s="20" t="n"/>
      <c r="G5" s="20" t="n"/>
      <c r="H5" s="20" t="n"/>
      <c r="I5" s="20" t="n"/>
      <c r="J5" s="20" t="n"/>
      <c r="K5" s="20" t="n"/>
      <c r="L5" s="20" t="n"/>
      <c r="M5" s="20" t="n"/>
    </row>
    <row r="6" ht="31" customHeight="1">
      <c r="D6" s="7" t="inlineStr">
        <is>
          <t>差分移行は表単位に方式A／B／C を適用する（2.3）。判定は次の順序で行い、いずれの条件も満たさない表・判断に迷う表は方式B とする。判定結果は付録B に記録し、リハーサルで検証する。</t>
        </is>
      </c>
    </row>
    <row r="7" ht="16" customHeight="1">
      <c r="D7" s="21" t="inlineStr">
        <is>
          <t>表 5-1　判定フロー</t>
        </is>
      </c>
    </row>
    <row r="8" ht="17.5" customHeight="1">
      <c r="D8" s="8" t="inlineStr">
        <is>
          <t>順序</t>
        </is>
      </c>
      <c r="E8" s="8" t="inlineStr">
        <is>
          <t>判定</t>
        </is>
      </c>
      <c r="F8" s="23" t="n"/>
      <c r="G8" s="23" t="n"/>
      <c r="H8" s="23" t="n"/>
      <c r="I8" s="22" t="n"/>
      <c r="J8" s="8" t="inlineStr">
        <is>
          <t>Yes</t>
        </is>
      </c>
      <c r="K8" s="22" t="n"/>
      <c r="L8" s="8" t="inlineStr">
        <is>
          <t>No</t>
        </is>
      </c>
      <c r="M8" s="22" t="n"/>
    </row>
    <row r="9" ht="44.5" customHeight="1">
      <c r="D9" s="24" t="inlineStr">
        <is>
          <t>1</t>
        </is>
      </c>
      <c r="E9" s="10" t="inlineStr">
        <is>
          <t>検証期間中（S0～S1）に更新が発生しないことが業務上確実か（年次更新マスタ、締め済み履歴等。業務主管確認）</t>
        </is>
      </c>
      <c r="F9" s="23" t="n"/>
      <c r="G9" s="23" t="n"/>
      <c r="H9" s="23" t="n"/>
      <c r="I9" s="22" t="n"/>
      <c r="J9" s="10" t="inlineStr">
        <is>
          <t>方式C 候補（切替時に件数・ORA_ROWSCN で無変更を確認。変更ありなら方式B）</t>
        </is>
      </c>
      <c r="K9" s="22" t="n"/>
      <c r="L9" s="10" t="inlineStr">
        <is>
          <t>順序 2 へ</t>
        </is>
      </c>
      <c r="M9" s="22" t="n"/>
    </row>
    <row r="10" ht="17.5" customHeight="1">
      <c r="D10" s="24" t="inlineStr">
        <is>
          <t>2</t>
        </is>
      </c>
      <c r="E10" s="10" t="inlineStr">
        <is>
          <t>表サイズが小さい（例：1GB 未満、または再投入が 5 分以内）か</t>
        </is>
      </c>
      <c r="F10" s="23" t="n"/>
      <c r="G10" s="23" t="n"/>
      <c r="H10" s="23" t="n"/>
      <c r="I10" s="22" t="n"/>
      <c r="J10" s="10" t="inlineStr">
        <is>
          <t>方式B（単純・確実）</t>
        </is>
      </c>
      <c r="K10" s="22" t="n"/>
      <c r="L10" s="10" t="inlineStr">
        <is>
          <t>順序 3 へ</t>
        </is>
      </c>
      <c r="M10" s="22" t="n"/>
    </row>
    <row r="11" ht="31" customHeight="1">
      <c r="D11" s="24" t="inlineStr">
        <is>
          <t>3</t>
        </is>
      </c>
      <c r="E11" s="10" t="inlineStr">
        <is>
          <t>主キー（または一意キー）があり、updatedate（と createdate）列があるか</t>
        </is>
      </c>
      <c r="F11" s="23" t="n"/>
      <c r="G11" s="23" t="n"/>
      <c r="H11" s="23" t="n"/>
      <c r="I11" s="22" t="n"/>
      <c r="J11" s="10" t="inlineStr">
        <is>
          <t>順序 4 へ</t>
        </is>
      </c>
      <c r="K11" s="22" t="n"/>
      <c r="L11" s="10" t="inlineStr">
        <is>
          <t>方式B</t>
        </is>
      </c>
      <c r="M11" s="22" t="n"/>
    </row>
    <row r="12" ht="44.5" customHeight="1">
      <c r="D12" s="24" t="inlineStr">
        <is>
          <t>4</t>
        </is>
      </c>
      <c r="E12" s="10" t="inlineStr">
        <is>
          <t>全ての更新経路（AP／API・バッチ・ASTERIA・Data Loader・手動 SQL）で INSERT／UPDATE 時に updatedate が必ず設定されると調査で確認できたか</t>
        </is>
      </c>
      <c r="F12" s="23" t="n"/>
      <c r="G12" s="23" t="n"/>
      <c r="H12" s="23" t="n"/>
      <c r="I12" s="22" t="n"/>
      <c r="J12" s="10" t="inlineStr">
        <is>
          <t>順序 5 へ</t>
        </is>
      </c>
      <c r="K12" s="22" t="n"/>
      <c r="L12" s="10" t="inlineStr">
        <is>
          <t>方式B</t>
        </is>
      </c>
      <c r="M12" s="22" t="n"/>
    </row>
    <row r="13" ht="31" customHeight="1">
      <c r="D13" s="24" t="inlineStr">
        <is>
          <t>5</t>
        </is>
      </c>
      <c r="E13" s="10" t="inlineStr">
        <is>
          <t>物理削除（DELETE）が行われないか（論理削除または削除なし）</t>
        </is>
      </c>
      <c r="F13" s="23" t="n"/>
      <c r="G13" s="23" t="n"/>
      <c r="H13" s="23" t="n"/>
      <c r="I13" s="22" t="n"/>
      <c r="J13" s="10" t="inlineStr">
        <is>
          <t>方式A</t>
        </is>
      </c>
      <c r="K13" s="22" t="n"/>
      <c r="L13" s="10" t="inlineStr">
        <is>
          <r>
            <rPr>
              <rFont val="ＭＳ Ｐゴシック"/>
              <color rgb="00000000"/>
              <sz val="10"/>
            </rPr>
            <t>方式B（または方式B の代替：削除ログの併用</t>
          </r>
          <r>
            <rPr>
              <rFont val="ＭＳ Ｐゴシック"/>
              <b val="1"/>
              <color rgb="00FF0000"/>
              <sz val="10"/>
            </rPr>
            <t>【要確認】</t>
          </r>
          <r>
            <rPr>
              <rFont val="ＭＳ Ｐゴシック"/>
              <color rgb="00000000"/>
              <sz val="10"/>
            </rPr>
            <t>）</t>
          </r>
        </is>
      </c>
      <c r="M13" s="22" t="n"/>
    </row>
    <row r="14" ht="58" customHeight="1">
      <c r="D14" s="7" t="inlineStr">
        <is>
          <r>
            <rPr>
              <rFont val="ＭＳ Ｐゴシック"/>
              <color rgb="00000000"/>
              <sz val="10"/>
            </rPr>
            <t>4 時間枠の判定：方式B 表の合計容量（GB）÷ 実測スループット（エクスポート・転送・取込の直列合計）＋ 方式A の MERGE 時間 ＋ 事後処理・検証・切替（約 60 分）が 3 時間以内であること。超過する場合は次の順で対策する：①方式C の適用拡大（業務主管確認）②大表の変更ログトリガー（現行 DB に主キー記録用トリガー・ログ表を追加し、切替時はログ表の主キーで差分抽出）③AWS DMS CDC（初期全量後、DMS で継続同期し切替時は残差分のみ）</t>
          </r>
          <r>
            <rPr>
              <rFont val="ＭＳ Ｐゴシック"/>
              <b val="1"/>
              <color rgb="00FF0000"/>
              <sz val="10"/>
            </rPr>
            <t>【要確認】</t>
          </r>
          <r>
            <rPr>
              <rFont val="ＭＳ Ｐゴシック"/>
              <color rgb="00000000"/>
              <sz val="10"/>
            </rPr>
            <t>。</t>
          </r>
        </is>
      </c>
    </row>
    <row r="15" ht="6" customHeight="1"/>
    <row r="16" ht="20" customHeight="1">
      <c r="B16" s="19" t="inlineStr">
        <is>
          <t>5.2. 差分データの識別方法</t>
        </is>
      </c>
      <c r="C16" s="20" t="n"/>
      <c r="D16" s="20" t="n"/>
      <c r="E16" s="20" t="n"/>
      <c r="F16" s="20" t="n"/>
      <c r="G16" s="20" t="n"/>
      <c r="H16" s="20" t="n"/>
      <c r="I16" s="20" t="n"/>
      <c r="J16" s="20" t="n"/>
      <c r="K16" s="20" t="n"/>
      <c r="L16" s="20" t="n"/>
      <c r="M16" s="20" t="n"/>
    </row>
    <row r="17" ht="16" customHeight="1">
      <c r="D17" s="21" t="inlineStr">
        <is>
          <t>表 5-2　方式別の抽出条件</t>
        </is>
      </c>
    </row>
    <row r="18" ht="17.5" customHeight="1">
      <c r="D18" s="8" t="inlineStr">
        <is>
          <t>方式</t>
        </is>
      </c>
      <c r="E18" s="8" t="inlineStr">
        <is>
          <t>抽出対象</t>
        </is>
      </c>
      <c r="F18" s="22" t="n"/>
      <c r="G18" s="8" t="inlineStr">
        <is>
          <t>抽出条件（現行、FLASHBACK_SCN=S1）</t>
        </is>
      </c>
      <c r="H18" s="23" t="n"/>
      <c r="I18" s="23" t="n"/>
      <c r="J18" s="22" t="n"/>
      <c r="K18" s="8" t="inlineStr">
        <is>
          <t>注意点</t>
        </is>
      </c>
      <c r="L18" s="23" t="n"/>
      <c r="M18" s="22" t="n"/>
    </row>
    <row r="19" ht="58" customHeight="1">
      <c r="D19" s="24" t="inlineStr">
        <is>
          <t>A</t>
        </is>
      </c>
      <c r="E19" s="10" t="inlineStr">
        <is>
          <t>主キー＋updatedate のある表</t>
        </is>
      </c>
      <c r="F19" s="22" t="n"/>
      <c r="G19" s="10" t="inlineStr">
        <is>
          <t>QUERY="&lt;表&gt;:WHERE NVL(updatedate, createdate) &gt;= TO_DATE('&lt;T0 − 24h&gt;','YYYY-MM-DD HH24:MI:SS')"。createdate のみ設定される INSERT にも対応するため NVL／GREATEST を用いる</t>
        </is>
      </c>
      <c r="H19" s="23" t="n"/>
      <c r="I19" s="23" t="n"/>
      <c r="J19" s="22" t="n"/>
      <c r="K19" s="10" t="inlineStr">
        <is>
          <r>
            <rPr>
              <rFont val="ＭＳ Ｐゴシック"/>
              <color rgb="00000000"/>
              <sz val="10"/>
            </rPr>
            <t>抽出範囲の重複は MERGE で吸収される。T0 − 24h はマージン（時刻ずれ・長時間トランザクション対策）</t>
          </r>
          <r>
            <rPr>
              <rFont val="ＭＳ Ｐゴシック"/>
              <b val="1"/>
              <color rgb="00FF0000"/>
              <sz val="10"/>
            </rPr>
            <t>【要確認】</t>
          </r>
          <r>
            <rPr>
              <rFont val="ＭＳ Ｐゴシック"/>
              <color rgb="00000000"/>
              <sz val="10"/>
            </rPr>
            <t>。updatedate が NULL の行は createdate で判定</t>
          </r>
        </is>
      </c>
      <c r="L19" s="23" t="n"/>
      <c r="M19" s="22" t="n"/>
    </row>
    <row r="20" ht="31" customHeight="1">
      <c r="D20" s="24" t="inlineStr">
        <is>
          <t>B</t>
        </is>
      </c>
      <c r="E20" s="10" t="inlineStr">
        <is>
          <t>上記以外の表</t>
        </is>
      </c>
      <c r="F20" s="22" t="n"/>
      <c r="G20" s="10" t="inlineStr">
        <is>
          <t>TABLES=&lt;表&gt; の全件（条件なし）</t>
        </is>
      </c>
      <c r="H20" s="23" t="n"/>
      <c r="I20" s="23" t="n"/>
      <c r="J20" s="22" t="n"/>
      <c r="K20" s="10" t="inlineStr">
        <is>
          <t>TRUNCATE 後に投入するため、現行の S1 時点と完全一致する</t>
        </is>
      </c>
      <c r="L20" s="23" t="n"/>
      <c r="M20" s="22" t="n"/>
    </row>
    <row r="21" ht="58" customHeight="1">
      <c r="D21" s="24" t="inlineStr">
        <is>
          <t>C</t>
        </is>
      </c>
      <c r="E21" s="10" t="inlineStr">
        <is>
          <t>無変更が確実な表</t>
        </is>
      </c>
      <c r="F21" s="22" t="n"/>
      <c r="G21" s="10" t="inlineStr">
        <is>
          <t>SELECT COUNT(*), MAX(ORA_ROWSCN) FROM &lt;表&gt;; MAX(ORA_ROWSCN) ≦ S0 かつ件数が初期取込時と一致 → 投入なし</t>
        </is>
      </c>
      <c r="H21" s="23" t="n"/>
      <c r="I21" s="23" t="n"/>
      <c r="J21" s="22" t="n"/>
      <c r="K21" s="10" t="inlineStr">
        <is>
          <t>ORA_ROWSCN はブロック単位（ROWDEPENDENCIES なし）のため変更の「有無」判定に使う（偽陰性なし）。変更が検出されたら方式B として投入</t>
        </is>
      </c>
      <c r="L21" s="23" t="n"/>
      <c r="M21" s="22" t="n"/>
    </row>
    <row r="22" ht="31" customHeight="1">
      <c r="D22" s="24" t="inlineStr">
        <is>
          <t>シーケンス</t>
        </is>
      </c>
      <c r="E22" s="10" t="inlineStr">
        <is>
          <t>全シーケンス</t>
        </is>
      </c>
      <c r="F22" s="22" t="n"/>
      <c r="G22" s="10" t="inlineStr">
        <is>
          <t>expdp INCLUDE=SEQUENCE（CONTENT=METADATA_ONLY）または dba_sequences.LAST_NUMBER の一覧</t>
        </is>
      </c>
      <c r="H22" s="23" t="n"/>
      <c r="I22" s="23" t="n"/>
      <c r="J22" s="22" t="n"/>
      <c r="K22" s="10" t="inlineStr">
        <is>
          <t>RDS 側で現在値を同期（5.7 No.6）</t>
        </is>
      </c>
      <c r="L22" s="23" t="n"/>
      <c r="M22" s="22" t="n"/>
    </row>
    <row r="23" ht="31" customHeight="1">
      <c r="D23" s="24" t="inlineStr">
        <is>
          <t>メタデータ</t>
        </is>
      </c>
      <c r="E23" s="10" t="inlineStr">
        <is>
          <t>DDL 変更</t>
        </is>
      </c>
      <c r="F23" s="22" t="n"/>
      <c r="G23" s="10" t="inlineStr">
        <is>
          <t>検証期間中は DDL 凍結のため原則なし。やむを得ず変更した場合は変更 SQL を RDS へ手動適用</t>
        </is>
      </c>
      <c r="H23" s="23" t="n"/>
      <c r="I23" s="23" t="n"/>
      <c r="J23" s="22" t="n"/>
      <c r="K23" s="10" t="inlineStr">
        <is>
          <t>8.5 変更凍結</t>
        </is>
      </c>
      <c r="L23" s="23" t="n"/>
      <c r="M23" s="22" t="n"/>
    </row>
    <row r="24" ht="6" customHeight="1"/>
    <row r="25" ht="20" customHeight="1">
      <c r="B25" s="19" t="inlineStr">
        <is>
          <t>5.3. 切替前日までの準備（T−1 日：土曜）</t>
        </is>
      </c>
      <c r="C25" s="20" t="n"/>
      <c r="D25" s="20" t="n"/>
      <c r="E25" s="20" t="n"/>
      <c r="F25" s="20" t="n"/>
      <c r="G25" s="20" t="n"/>
      <c r="H25" s="20" t="n"/>
      <c r="I25" s="20" t="n"/>
      <c r="J25" s="20" t="n"/>
      <c r="K25" s="20" t="n"/>
      <c r="L25" s="20" t="n"/>
      <c r="M25" s="20" t="n"/>
    </row>
    <row r="26" ht="17.5" customHeight="1">
      <c r="D26" s="8" t="inlineStr">
        <is>
          <t>No</t>
        </is>
      </c>
      <c r="E26" s="8" t="inlineStr">
        <is>
          <t>作業</t>
        </is>
      </c>
      <c r="F26" s="22" t="n"/>
      <c r="G26" s="8" t="inlineStr">
        <is>
          <t>内容・コマンド（付録A）</t>
        </is>
      </c>
      <c r="H26" s="23" t="n"/>
      <c r="I26" s="23" t="n"/>
      <c r="J26" s="22" t="n"/>
      <c r="K26" s="8" t="inlineStr">
        <is>
          <t>確認事項</t>
        </is>
      </c>
      <c r="L26" s="22" t="n"/>
      <c r="M26" s="8" t="inlineStr">
        <is>
          <t>目安</t>
        </is>
      </c>
    </row>
    <row r="27" ht="31" customHeight="1">
      <c r="D27" s="24" t="inlineStr">
        <is>
          <t>1</t>
        </is>
      </c>
      <c r="E27" s="10" t="inlineStr">
        <is>
          <t>検証の終了・データ更新停止</t>
        </is>
      </c>
      <c r="F27" s="22" t="n"/>
      <c r="G27" s="10" t="inlineStr">
        <is>
          <t>新環境での検証作業を終了し、検証用の接続（Tomcat・ASTERIA・バッチ・Data Loader）を停止する</t>
        </is>
      </c>
      <c r="H27" s="23" t="n"/>
      <c r="I27" s="23" t="n"/>
      <c r="J27" s="22" t="n"/>
      <c r="K27" s="10" t="inlineStr">
        <is>
          <t>RDS への業務セッションなし</t>
        </is>
      </c>
      <c r="L27" s="22" t="n"/>
      <c r="M27" s="10" t="inlineStr">
        <is>
          <t>－</t>
        </is>
      </c>
    </row>
    <row r="28" ht="125.5" customHeight="1">
      <c r="D28" s="24" t="inlineStr">
        <is>
          <t>2</t>
        </is>
      </c>
      <c r="E28" s="10" t="inlineStr">
        <is>
          <t>RDS の基点への復元</t>
        </is>
      </c>
      <c r="F28" s="22" t="n"/>
      <c r="G28" s="10" t="inlineStr">
        <is>
          <t>rds_restore.sh（A-17）：①現行の RDS 識別子を icdbh01 → icdbh01-verify に変更（modify-db-instance、--apply-immediately）②基点スナップショットから icdbh01 として復元（restore-db-instance-from-db-snapshot：同一サブネットグループ・SG・パラメータグループ・オプショングループ・インスタンスクラス・ストレージ・KMS・削除保護）③available を確認 ④エンドポイント名が元の名称（icdbh01.&lt;...&gt;.ap-northeast-1.rds.amazonaws.com）であることを確認</t>
        </is>
      </c>
      <c r="H28" s="23" t="n"/>
      <c r="I28" s="23" t="n"/>
      <c r="J28" s="22" t="n"/>
      <c r="K28" s="10" t="inlineStr">
        <is>
          <t>復元後の件数・オブジェクト数が初期取込完了時と一致。IAM ロール（S3_INTEGRATION）の関連付けは復元後に再実施</t>
        </is>
      </c>
      <c r="L28" s="22" t="n"/>
      <c r="M28" s="10" t="inlineStr">
        <is>
          <t>1～2 時間＋DNS 反映</t>
        </is>
      </c>
    </row>
    <row r="29" ht="31" customHeight="1">
      <c r="D29" s="24" t="inlineStr">
        <is>
          <t>3</t>
        </is>
      </c>
      <c r="E29" s="10" t="inlineStr">
        <is>
          <t>検証用インスタンスの扱い</t>
        </is>
      </c>
      <c r="F29" s="22" t="n"/>
      <c r="G29" s="10" t="inlineStr">
        <is>
          <t>icdbh01-verify は切替成功後に削除（9 章）。切替までは停止（stop-db-instance）して費用を抑える</t>
        </is>
      </c>
      <c r="H29" s="23" t="n"/>
      <c r="I29" s="23" t="n"/>
      <c r="J29" s="22" t="n"/>
      <c r="K29" s="10" t="inlineStr"/>
      <c r="L29" s="22" t="n"/>
      <c r="M29" s="10" t="inlineStr"/>
    </row>
    <row r="30" ht="44.5" customHeight="1">
      <c r="D30" s="24" t="inlineStr">
        <is>
          <t>4</t>
        </is>
      </c>
      <c r="E30" s="10" t="inlineStr">
        <is>
          <t>復元後の事前確認</t>
        </is>
      </c>
      <c r="F30" s="22" t="n"/>
      <c r="G30" s="10" t="inlineStr">
        <is>
          <t>S3 統合の動作（テストファイル download）、DATA_PUMP_DIR が空、ジョブ抑止状態、ステージングスキーマの存在、FreeStorageSpace</t>
        </is>
      </c>
      <c r="H30" s="23" t="n"/>
      <c r="I30" s="23" t="n"/>
      <c r="J30" s="22" t="n"/>
      <c r="K30" s="10" t="inlineStr"/>
      <c r="L30" s="22" t="n"/>
      <c r="M30" s="10" t="inlineStr">
        <is>
          <t>30 分</t>
        </is>
      </c>
    </row>
    <row r="31" ht="44.5" customHeight="1">
      <c r="D31" s="24" t="inlineStr">
        <is>
          <t>5</t>
        </is>
      </c>
      <c r="E31" s="10" t="inlineStr">
        <is>
          <t>方式C 表の事前チェック</t>
        </is>
      </c>
      <c r="F31" s="22" t="n"/>
      <c r="G31" s="10" t="inlineStr">
        <is>
          <t>現行で件数・MAX(ORA_ROWSCN) を取得し S0 と比較（A-19）。変更が見つかった表は方式B へ変更し、exp_diff_B.par を更新</t>
        </is>
      </c>
      <c r="H31" s="23" t="n"/>
      <c r="I31" s="23" t="n"/>
      <c r="J31" s="22" t="n"/>
      <c r="K31" s="10" t="inlineStr"/>
      <c r="L31" s="22" t="n"/>
      <c r="M31" s="10" t="inlineStr">
        <is>
          <t>30 分</t>
        </is>
      </c>
    </row>
    <row r="32" ht="44.5" customHeight="1">
      <c r="D32" s="24" t="inlineStr">
        <is>
          <t>6</t>
        </is>
      </c>
      <c r="E32" s="10" t="inlineStr">
        <is>
          <t>方式A ステージング表の準備</t>
        </is>
      </c>
      <c r="F32" s="22" t="n"/>
      <c r="G32" s="10" t="inlineStr">
        <is>
          <t>RDS：CREATE TABLE &lt;schema&gt;_DIFF.&lt;表&gt; AS SELECT * FROM &lt;schema&gt;.&lt;表&gt; WHERE 1=0（主キー列を含む全列）。または impdp で表定義のみ REMAP_SCHEMA 取込</t>
        </is>
      </c>
      <c r="H32" s="23" t="n"/>
      <c r="I32" s="23" t="n"/>
      <c r="J32" s="22" t="n"/>
      <c r="K32" s="10" t="inlineStr">
        <is>
          <t>ステージング表が空で存在</t>
        </is>
      </c>
      <c r="L32" s="22" t="n"/>
      <c r="M32" s="10" t="inlineStr">
        <is>
          <t>30 分</t>
        </is>
      </c>
    </row>
    <row r="33" ht="44.5" customHeight="1">
      <c r="D33" s="24" t="inlineStr">
        <is>
          <t>7</t>
        </is>
      </c>
      <c r="E33" s="10" t="inlineStr">
        <is>
          <t>現行側の準備</t>
        </is>
      </c>
      <c r="F33" s="22" t="n"/>
      <c r="G33" s="10" t="inlineStr">
        <is>
          <t>一時 EBS の空き（前回ダンプの削除）、rsync 疎通、差分用パラメータファイル（exp_diff_A／B、exp_seq）の最終確認</t>
        </is>
      </c>
      <c r="H33" s="23" t="n"/>
      <c r="I33" s="23" t="n"/>
      <c r="J33" s="22" t="n"/>
      <c r="K33" s="10" t="inlineStr"/>
      <c r="L33" s="22" t="n"/>
      <c r="M33" s="10" t="inlineStr">
        <is>
          <t>30 分</t>
        </is>
      </c>
    </row>
    <row r="34" ht="58" customHeight="1">
      <c r="D34" s="24" t="inlineStr">
        <is>
          <t>8</t>
        </is>
      </c>
      <c r="E34" s="10" t="inlineStr">
        <is>
          <t>新サーバ側の準備</t>
        </is>
      </c>
      <c r="F34" s="22" t="n"/>
      <c r="G34" s="10" t="inlineStr">
        <is>
          <t>中継領域の空き、S3 diff/ プレフィックスが空、新環境の接続定義（Tomcat context.xml、ASTERIA、tnsnames.ora、Data Loader）が本番 RDS を指していること（サービスは停止状態）</t>
        </is>
      </c>
      <c r="H34" s="23" t="n"/>
      <c r="I34" s="23" t="n"/>
      <c r="J34" s="22" t="n"/>
      <c r="K34" s="10" t="inlineStr"/>
      <c r="L34" s="22" t="n"/>
      <c r="M34" s="10" t="inlineStr">
        <is>
          <t>30 分</t>
        </is>
      </c>
    </row>
    <row r="35" ht="44.5" customHeight="1">
      <c r="D35" s="24" t="inlineStr">
        <is>
          <t>9</t>
        </is>
      </c>
      <c r="E35" s="10" t="inlineStr">
        <is>
          <t>連携先・関係者への最終連絡</t>
        </is>
      </c>
      <c r="F35" s="22" t="n"/>
      <c r="G35" s="10" t="inlineStr">
        <is>
          <t>FWSS・eHUB・SFDC 連携の停止依頼、業務部門への停止周知、体制表・連絡網の確認、Go/No-Go 判定会議（リハーサル結果・準備完了チェック）</t>
        </is>
      </c>
      <c r="H35" s="23" t="n"/>
      <c r="I35" s="23" t="n"/>
      <c r="J35" s="22" t="n"/>
      <c r="K35" s="10" t="inlineStr">
        <is>
          <t>判定記録</t>
        </is>
      </c>
      <c r="L35" s="22" t="n"/>
      <c r="M35" s="10" t="inlineStr">
        <is>
          <t>－</t>
        </is>
      </c>
    </row>
    <row r="36" ht="31" customHeight="1">
      <c r="D36" s="24" t="inlineStr">
        <is>
          <t>10</t>
        </is>
      </c>
      <c r="E36" s="10" t="inlineStr">
        <is>
          <t>現行の最終バックアップ（停止前）</t>
        </is>
      </c>
      <c r="F36" s="22" t="n"/>
      <c r="G36" s="10" t="inlineStr">
        <is>
          <t>現行 EC2 の AMI 取得（稼働中）。切替直前（停止後）に再度取得（5.5 No.3）</t>
        </is>
      </c>
      <c r="H36" s="23" t="n"/>
      <c r="I36" s="23" t="n"/>
      <c r="J36" s="22" t="n"/>
      <c r="K36" s="10" t="inlineStr"/>
      <c r="L36" s="22" t="n"/>
      <c r="M36" s="10" t="inlineStr">
        <is>
          <t>1 時間</t>
        </is>
      </c>
    </row>
    <row r="37" ht="6" customHeight="1"/>
    <row r="38" ht="20" customHeight="1">
      <c r="B38" s="19" t="inlineStr">
        <is>
          <t>5.4. 切替当日タイムライン（業務停止 4 時間以内）</t>
        </is>
      </c>
      <c r="C38" s="20" t="n"/>
      <c r="D38" s="20" t="n"/>
      <c r="E38" s="20" t="n"/>
      <c r="F38" s="20" t="n"/>
      <c r="G38" s="20" t="n"/>
      <c r="H38" s="20" t="n"/>
      <c r="I38" s="20" t="n"/>
      <c r="J38" s="20" t="n"/>
      <c r="K38" s="20" t="n"/>
      <c r="L38" s="20" t="n"/>
      <c r="M38" s="20" t="n"/>
    </row>
    <row r="39" ht="31" customHeight="1">
      <c r="D39" s="7" t="inlineStr">
        <is>
          <r>
            <rPr>
              <rFont val="ＭＳ Ｐゴシック"/>
              <color rgb="00000000"/>
              <sz val="10"/>
            </rPr>
            <t>開始時刻 T は日曜の計画保守時間帯内で業務主管と合意した時刻とする</t>
          </r>
          <r>
            <rPr>
              <rFont val="ＭＳ Ｐゴシック"/>
              <b val="1"/>
              <color rgb="00FF0000"/>
              <sz val="10"/>
            </rPr>
            <t>【要確認】</t>
          </r>
          <r>
            <rPr>
              <rFont val="ＭＳ Ｐゴシック"/>
              <color rgb="00000000"/>
              <sz val="10"/>
            </rPr>
            <t>。各所要時間はリハーサル実測で更新する。T+3:00 を切戻し判断ポイントとし、取込・検証が完了していない場合は切戻し（5.10）に移行する。</t>
          </r>
        </is>
      </c>
    </row>
    <row r="40" ht="16" customHeight="1">
      <c r="D40" s="21" t="inlineStr">
        <is>
          <t>表 5-3　切替当日タイムライン（目安）</t>
        </is>
      </c>
    </row>
    <row r="41" ht="17.5" customHeight="1">
      <c r="D41" s="8" t="inlineStr">
        <is>
          <t>時刻</t>
        </is>
      </c>
      <c r="E41" s="8" t="inlineStr">
        <is>
          <t>作業</t>
        </is>
      </c>
      <c r="F41" s="23" t="n"/>
      <c r="G41" s="23" t="n"/>
      <c r="H41" s="23" t="n"/>
      <c r="I41" s="22" t="n"/>
      <c r="J41" s="8" t="inlineStr">
        <is>
          <t>実施場所</t>
        </is>
      </c>
      <c r="K41" s="8" t="inlineStr">
        <is>
          <t>担当</t>
        </is>
      </c>
      <c r="L41" s="8" t="inlineStr">
        <is>
          <t>完了条件・判定</t>
        </is>
      </c>
      <c r="M41" s="22" t="n"/>
    </row>
    <row r="42" ht="31" customHeight="1">
      <c r="D42" s="24" t="inlineStr">
        <is>
          <t>T−0:30</t>
        </is>
      </c>
      <c r="E42" s="10" t="inlineStr">
        <is>
          <t>最終確認：関係者集合、連絡手段確認、5.3 の準備完了確認、監視抑止（現行・新）</t>
        </is>
      </c>
      <c r="F42" s="23" t="n"/>
      <c r="G42" s="23" t="n"/>
      <c r="H42" s="23" t="n"/>
      <c r="I42" s="22" t="n"/>
      <c r="J42" s="10" t="inlineStr">
        <is>
          <t>－</t>
        </is>
      </c>
      <c r="K42" s="10" t="inlineStr">
        <is>
          <t>移行リーダー</t>
        </is>
      </c>
      <c r="L42" s="10" t="inlineStr">
        <is>
          <t>Go 判定</t>
        </is>
      </c>
      <c r="M42" s="22" t="n"/>
    </row>
    <row r="43" ht="44.5" customHeight="1">
      <c r="D43" s="24" t="inlineStr">
        <is>
          <t>T+0:00</t>
        </is>
      </c>
      <c r="E43" s="10" t="inlineStr">
        <is>
          <t>業務停止：Apache／WebLogic 停止、JP1 ジョブ抑止、ASTERIA フローサービス停止、HULFT 集信保留、Data Loader バッチ停止。連携先の送信停止確認</t>
        </is>
      </c>
      <c r="F43" s="23" t="n"/>
      <c r="G43" s="23" t="n"/>
      <c r="H43" s="23" t="n"/>
      <c r="I43" s="22" t="n"/>
      <c r="J43" s="10" t="inlineStr">
        <is>
          <t>現行</t>
        </is>
      </c>
      <c r="K43" s="10" t="inlineStr">
        <is>
          <t>AP 担当・運用</t>
        </is>
      </c>
      <c r="L43" s="10" t="inlineStr">
        <is>
          <t>サービス停止の宣言</t>
        </is>
      </c>
      <c r="M43" s="22" t="n"/>
    </row>
    <row r="44" ht="44.5" customHeight="1">
      <c r="D44" s="24" t="inlineStr">
        <is>
          <t>T+0:10</t>
        </is>
      </c>
      <c r="E44" s="10" t="inlineStr">
        <is>
          <t>現行 DB の静止確認：業務ユーザのセッションなし（v$session）、ALTER SYSTEM ENABLE RESTRICTED SESSION（または業務ユーザの ACCOUNT LOCK）、長時間トランザクションなし</t>
        </is>
      </c>
      <c r="F44" s="23" t="n"/>
      <c r="G44" s="23" t="n"/>
      <c r="H44" s="23" t="n"/>
      <c r="I44" s="22" t="n"/>
      <c r="J44" s="10" t="inlineStr">
        <is>
          <t>現行 DB</t>
        </is>
      </c>
      <c r="K44" s="10" t="inlineStr">
        <is>
          <t>DB 担当</t>
        </is>
      </c>
      <c r="L44" s="10" t="inlineStr">
        <is>
          <t>更新なしの確認</t>
        </is>
      </c>
      <c r="M44" s="22" t="n"/>
    </row>
    <row r="45" ht="31" customHeight="1">
      <c r="D45" s="24" t="inlineStr">
        <is>
          <t>T+0:15</t>
        </is>
      </c>
      <c r="E45" s="10" t="inlineStr">
        <is>
          <t>S1 取得（get_scn.sql）、現行の件数（全表）・主要表ハッシュ・シーケンス LAST_NUMBER を取得（verify_counts／verify_hash）</t>
        </is>
      </c>
      <c r="F45" s="23" t="n"/>
      <c r="G45" s="23" t="n"/>
      <c r="H45" s="23" t="n"/>
      <c r="I45" s="22" t="n"/>
      <c r="J45" s="10" t="inlineStr">
        <is>
          <t>現行 DB</t>
        </is>
      </c>
      <c r="K45" s="10" t="inlineStr">
        <is>
          <t>DB 担当</t>
        </is>
      </c>
      <c r="L45" s="10" t="inlineStr">
        <is>
          <t>S1 記録</t>
        </is>
      </c>
      <c r="M45" s="22" t="n"/>
    </row>
    <row r="46" ht="44.5" customHeight="1">
      <c r="D46" s="24" t="inlineStr">
        <is>
          <t>T+0:20</t>
        </is>
      </c>
      <c r="E46" s="10" t="inlineStr">
        <is>
          <t>差分エクスポート：方式A（exp_diff_A.par）、方式B（exp_diff_B.par、PARALLEL）、シーケンス（exp_seq.par）を並行実行。方式C の件数・ORA_ROWSCN 最終確認</t>
        </is>
      </c>
      <c r="F46" s="23" t="n"/>
      <c r="G46" s="23" t="n"/>
      <c r="H46" s="23" t="n"/>
      <c r="I46" s="22" t="n"/>
      <c r="J46" s="10" t="inlineStr">
        <is>
          <t>現行 DB</t>
        </is>
      </c>
      <c r="K46" s="10" t="inlineStr">
        <is>
          <t>DB 担当</t>
        </is>
      </c>
      <c r="L46" s="10" t="inlineStr">
        <is>
          <t>ログにエラーなし、行数記録</t>
        </is>
      </c>
      <c r="M46" s="22" t="n"/>
    </row>
    <row r="47" ht="31" customHeight="1">
      <c r="D47" s="24" t="inlineStr">
        <is>
          <t>T+0:50</t>
        </is>
      </c>
      <c r="E47" s="10" t="inlineStr">
        <is>
          <t>転送：チェックサム → rsync → 照合 → aws s3 cp（diff/）→ download_from_s3 → listdir 照合</t>
        </is>
      </c>
      <c r="F47" s="23" t="n"/>
      <c r="G47" s="23" t="n"/>
      <c r="H47" s="23" t="n"/>
      <c r="I47" s="22" t="n"/>
      <c r="J47" s="10" t="inlineStr">
        <is>
          <t>新サーバ／RDS</t>
        </is>
      </c>
      <c r="K47" s="10" t="inlineStr">
        <is>
          <t>DB 担当</t>
        </is>
      </c>
      <c r="L47" s="10" t="inlineStr">
        <is>
          <t>ファイル数・サイズ一致</t>
        </is>
      </c>
      <c r="M47" s="22" t="n"/>
    </row>
    <row r="48" ht="44.5" customHeight="1">
      <c r="D48" s="24" t="inlineStr">
        <is>
          <t>T+1:20</t>
        </is>
      </c>
      <c r="E48" s="10" t="inlineStr">
        <is>
          <t>取込（方式B）：diff_B_load.sql（FK・トリガー無効化 → impdp TABLE_EXISTS_ACTION=TRUNCATE → 制約 ENABLE VALIDATE・トリガー有効化）</t>
        </is>
      </c>
      <c r="F48" s="23" t="n"/>
      <c r="G48" s="23" t="n"/>
      <c r="H48" s="23" t="n"/>
      <c r="I48" s="22" t="n"/>
      <c r="J48" s="10" t="inlineStr">
        <is>
          <t>RDS</t>
        </is>
      </c>
      <c r="K48" s="10" t="inlineStr">
        <is>
          <t>DB 担当</t>
        </is>
      </c>
      <c r="L48" s="10" t="inlineStr">
        <is>
          <t>行数一致、制約 VALIDATED</t>
        </is>
      </c>
      <c r="M48" s="22" t="n"/>
    </row>
    <row r="49" ht="31" customHeight="1">
      <c r="D49" s="24" t="inlineStr">
        <is>
          <t>T+1:20</t>
        </is>
      </c>
      <c r="E49" s="10" t="inlineStr">
        <is>
          <t>取込（方式A）：impdp REMAP_SCHEMA=&lt;schema&gt;:&lt;schema&gt;_DIFF → diff_A_merge.sql（MERGE、件数ログ）※方式B と並行</t>
        </is>
      </c>
      <c r="F49" s="23" t="n"/>
      <c r="G49" s="23" t="n"/>
      <c r="H49" s="23" t="n"/>
      <c r="I49" s="22" t="n"/>
      <c r="J49" s="10" t="inlineStr">
        <is>
          <t>RDS</t>
        </is>
      </c>
      <c r="K49" s="10" t="inlineStr">
        <is>
          <t>DB 担当</t>
        </is>
      </c>
      <c r="L49" s="10" t="inlineStr">
        <is>
          <t>MERGE 件数記録</t>
        </is>
      </c>
      <c r="M49" s="22" t="n"/>
    </row>
    <row r="50" ht="31" customHeight="1">
      <c r="D50" s="24" t="inlineStr">
        <is>
          <t>T+2:20</t>
        </is>
      </c>
      <c r="E50" s="10" t="inlineStr">
        <is>
          <t>事後処理：シーケンス同期、方式B 表の統計取得、無効オブジェクト再コンパイル、索引・制約状態確認、ジョブ有効化準備</t>
        </is>
      </c>
      <c r="F50" s="23" t="n"/>
      <c r="G50" s="23" t="n"/>
      <c r="H50" s="23" t="n"/>
      <c r="I50" s="22" t="n"/>
      <c r="J50" s="10" t="inlineStr">
        <is>
          <t>RDS</t>
        </is>
      </c>
      <c r="K50" s="10" t="inlineStr">
        <is>
          <t>DB 担当</t>
        </is>
      </c>
      <c r="L50" s="10" t="inlineStr">
        <is>
          <t>無効オブジェクト増加なし</t>
        </is>
      </c>
      <c r="M50" s="22" t="n"/>
    </row>
    <row r="51" ht="44.5" customHeight="1">
      <c r="D51" s="24" t="inlineStr">
        <is>
          <t>T+2:40</t>
        </is>
      </c>
      <c r="E51" s="10" t="inlineStr">
        <is>
          <t>検証（短時間版 5.8）：件数照合（全表）、主要表ハッシュ照合、シーケンス、Tomcat 起動→ログイン・主要画面、ASTERIA テストフロー、JP1 テストジョブ、Data Loader 接続</t>
        </is>
      </c>
      <c r="F51" s="23" t="n"/>
      <c r="G51" s="23" t="n"/>
      <c r="H51" s="23" t="n"/>
      <c r="I51" s="22" t="n"/>
      <c r="J51" s="10" t="inlineStr">
        <is>
          <t>RDS／新サーバ</t>
        </is>
      </c>
      <c r="K51" s="10" t="inlineStr">
        <is>
          <t>DB・AP 担当</t>
        </is>
      </c>
      <c r="L51" s="10" t="inlineStr">
        <is>
          <t>不一致 0 件</t>
        </is>
      </c>
      <c r="M51" s="22" t="n"/>
    </row>
    <row r="52" ht="31" customHeight="1">
      <c r="D52" s="24" t="inlineStr">
        <is>
          <t>T+3:00</t>
        </is>
      </c>
      <c r="E52" s="10" t="inlineStr">
        <is>
          <t>切戻し判断ポイント：取込・検証が完了していれば続行。未完了・不一致解消不可・重大障害の場合は切戻し（5.10）</t>
        </is>
      </c>
      <c r="F52" s="23" t="n"/>
      <c r="G52" s="23" t="n"/>
      <c r="H52" s="23" t="n"/>
      <c r="I52" s="22" t="n"/>
      <c r="J52" s="10" t="inlineStr">
        <is>
          <t>－</t>
        </is>
      </c>
      <c r="K52" s="10" t="inlineStr">
        <is>
          <t>移行リーダー</t>
        </is>
      </c>
      <c r="L52" s="10" t="inlineStr">
        <is>
          <t>Go／No-Go</t>
        </is>
      </c>
      <c r="M52" s="22" t="n"/>
    </row>
    <row r="53" ht="44.5" customHeight="1">
      <c r="D53" s="24" t="inlineStr">
        <is>
          <t>T+3:10</t>
        </is>
      </c>
      <c r="E53" s="10" t="inlineStr">
        <is>
          <t>接続切替・サービス開始：ジョブ有効化（job_queue_processes）、Tomcat／Apache・ASTERIA・JP1・Data Loader 起動、連携先へ接続先変更・再開依頼、監視有効化</t>
        </is>
      </c>
      <c r="F53" s="23" t="n"/>
      <c r="G53" s="23" t="n"/>
      <c r="H53" s="23" t="n"/>
      <c r="I53" s="22" t="n"/>
      <c r="J53" s="10" t="inlineStr">
        <is>
          <t>新環境</t>
        </is>
      </c>
      <c r="K53" s="10" t="inlineStr">
        <is>
          <t>AP 担当・運用</t>
        </is>
      </c>
      <c r="L53" s="10" t="inlineStr">
        <is>
          <t>各サービス起動</t>
        </is>
      </c>
      <c r="M53" s="22" t="n"/>
    </row>
    <row r="54" ht="17.5" customHeight="1">
      <c r="D54" s="24" t="inlineStr">
        <is>
          <t>T+3:30</t>
        </is>
      </c>
      <c r="E54" s="10" t="inlineStr">
        <is>
          <t>業務確認：業務主管による主要業務の確認（参照・更新・帳票・連携）</t>
        </is>
      </c>
      <c r="F54" s="23" t="n"/>
      <c r="G54" s="23" t="n"/>
      <c r="H54" s="23" t="n"/>
      <c r="I54" s="22" t="n"/>
      <c r="J54" s="10" t="inlineStr">
        <is>
          <t>新環境</t>
        </is>
      </c>
      <c r="K54" s="10" t="inlineStr">
        <is>
          <t>業務主管</t>
        </is>
      </c>
      <c r="L54" s="10" t="inlineStr">
        <is>
          <t>業務確認完了</t>
        </is>
      </c>
      <c r="M54" s="22" t="n"/>
    </row>
    <row r="55" ht="31" customHeight="1">
      <c r="D55" s="24" t="inlineStr">
        <is>
          <t>T+3:50</t>
        </is>
      </c>
      <c r="E55" s="10" t="inlineStr">
        <is>
          <t>サービス開始宣言。現行環境は停止状態（AP・DB 停止、EC2 stop）で保持。作業記録の整理</t>
        </is>
      </c>
      <c r="F55" s="23" t="n"/>
      <c r="G55" s="23" t="n"/>
      <c r="H55" s="23" t="n"/>
      <c r="I55" s="22" t="n"/>
      <c r="J55" s="10" t="inlineStr">
        <is>
          <t>－</t>
        </is>
      </c>
      <c r="K55" s="10" t="inlineStr">
        <is>
          <t>移行リーダー</t>
        </is>
      </c>
      <c r="L55" s="10" t="inlineStr">
        <is>
          <t>切替完了</t>
        </is>
      </c>
      <c r="M55" s="22" t="n"/>
    </row>
    <row r="56" ht="6" customHeight="1"/>
    <row r="57" ht="20" customHeight="1">
      <c r="B57" s="19" t="inlineStr">
        <is>
          <t>5.5. 業務停止・差分エクスポート（現行）</t>
        </is>
      </c>
      <c r="C57" s="20" t="n"/>
      <c r="D57" s="20" t="n"/>
      <c r="E57" s="20" t="n"/>
      <c r="F57" s="20" t="n"/>
      <c r="G57" s="20" t="n"/>
      <c r="H57" s="20" t="n"/>
      <c r="I57" s="20" t="n"/>
      <c r="J57" s="20" t="n"/>
      <c r="K57" s="20" t="n"/>
      <c r="L57" s="20" t="n"/>
      <c r="M57" s="20" t="n"/>
    </row>
    <row r="58" ht="17.5" customHeight="1">
      <c r="D58" s="8" t="inlineStr">
        <is>
          <t>No</t>
        </is>
      </c>
      <c r="E58" s="8" t="inlineStr">
        <is>
          <t>作業</t>
        </is>
      </c>
      <c r="F58" s="22" t="n"/>
      <c r="G58" s="8" t="inlineStr">
        <is>
          <t>内容・コマンド（付録A）</t>
        </is>
      </c>
      <c r="H58" s="23" t="n"/>
      <c r="I58" s="23" t="n"/>
      <c r="J58" s="23" t="n"/>
      <c r="K58" s="22" t="n"/>
      <c r="L58" s="8" t="inlineStr">
        <is>
          <t>確認事項</t>
        </is>
      </c>
      <c r="M58" s="22" t="n"/>
    </row>
    <row r="59" ht="44.5" customHeight="1">
      <c r="D59" s="24" t="inlineStr">
        <is>
          <t>1</t>
        </is>
      </c>
      <c r="E59" s="10" t="inlineStr">
        <is>
          <t>業務停止</t>
        </is>
      </c>
      <c r="F59" s="22" t="n"/>
      <c r="G59" s="10" t="inlineStr">
        <is>
          <t>AP／API（Apache・WebLogic）停止、JP1 のジョブネット抑止（実行中ジョブの完了待ち）、ASTERIA フローサービス停止、HULFT の集信は受付停止（送信元へ停止依頼済み）、Data Loader バッチ停止</t>
        </is>
      </c>
      <c r="H59" s="23" t="n"/>
      <c r="I59" s="23" t="n"/>
      <c r="J59" s="23" t="n"/>
      <c r="K59" s="22" t="n"/>
      <c r="L59" s="10" t="inlineStr">
        <is>
          <t>停止手順書に従い実施。停止状態を記録</t>
        </is>
      </c>
      <c r="M59" s="22" t="n"/>
    </row>
    <row r="60" ht="58" customHeight="1">
      <c r="D60" s="24" t="inlineStr">
        <is>
          <t>2</t>
        </is>
      </c>
      <c r="E60" s="10" t="inlineStr">
        <is>
          <t>DB の静止化</t>
        </is>
      </c>
      <c r="F60" s="22" t="n"/>
      <c r="G60" s="10" t="inlineStr">
        <is>
          <t>v$session で業務ユーザのセッションがないことを確認（残存セッションは KILL）。ALTER SYSTEM ENABLE RESTRICTED SESSION（RESTRICTED SESSION 権限を持つ作業ユーザのみ接続可）。v$transaction が空であること</t>
        </is>
      </c>
      <c r="H60" s="23" t="n"/>
      <c r="I60" s="23" t="n"/>
      <c r="J60" s="23" t="n"/>
      <c r="K60" s="22" t="n"/>
      <c r="L60" s="10" t="inlineStr">
        <is>
          <t>更新なし</t>
        </is>
      </c>
      <c r="M60" s="22" t="n"/>
    </row>
    <row r="61" ht="31" customHeight="1">
      <c r="D61" s="24" t="inlineStr">
        <is>
          <t>3</t>
        </is>
      </c>
      <c r="E61" s="10" t="inlineStr">
        <is>
          <t>最終バックアップ</t>
        </is>
      </c>
      <c r="F61" s="22" t="n"/>
      <c r="G61" s="10" t="inlineStr">
        <is>
          <t>現行 EC2 の AMI（停止後、静止点）取得を開始（バックグラウンド）。※差分エクスポートと並行可</t>
        </is>
      </c>
      <c r="H61" s="23" t="n"/>
      <c r="I61" s="23" t="n"/>
      <c r="J61" s="23" t="n"/>
      <c r="K61" s="22" t="n"/>
      <c r="L61" s="10" t="inlineStr">
        <is>
          <t>切戻し用</t>
        </is>
      </c>
      <c r="M61" s="22" t="n"/>
    </row>
    <row r="62" ht="44.5" customHeight="1">
      <c r="D62" s="24" t="inlineStr">
        <is>
          <t>4</t>
        </is>
      </c>
      <c r="E62" s="10" t="inlineStr">
        <is>
          <t>S1 の取得・基準値の取得</t>
        </is>
      </c>
      <c r="F62" s="22" t="n"/>
      <c r="G62" s="10" t="inlineStr">
        <is>
          <t>get_scn.sql で S1 を記録。verify_counts.sql（全表 COUNT、AS OF SCN 不要：更新なしのため）、verify_hash.sql（主要表）、dba_sequences の LAST_NUMBER を CSV 出力</t>
        </is>
      </c>
      <c r="H62" s="23" t="n"/>
      <c r="I62" s="23" t="n"/>
      <c r="J62" s="23" t="n"/>
      <c r="K62" s="22" t="n"/>
      <c r="L62" s="10" t="inlineStr">
        <is>
          <t>作業記録台帳へ</t>
        </is>
      </c>
      <c r="M62" s="22" t="n"/>
    </row>
    <row r="63" ht="44.5" customHeight="1">
      <c r="D63" s="24" t="inlineStr">
        <is>
          <t>5</t>
        </is>
      </c>
      <c r="E63" s="10" t="inlineStr">
        <is>
          <t>差分エクスポート（方式A）</t>
        </is>
      </c>
      <c r="F63" s="22" t="n"/>
      <c r="G63" s="10" t="inlineStr">
        <is>
          <t>expdp PARFILE=exp_diff_A.par（TABLES=&lt;方式A 表&gt;、CONTENT=DATA_ONLY、FLASHBACK_SCN=S1、QUERY=&lt;表 5-2 の条件&gt;、DUMPFILE=diffA_%U.dmp、PARALLEL=2）（A-12）</t>
        </is>
      </c>
      <c r="H63" s="23" t="n"/>
      <c r="I63" s="23" t="n"/>
      <c r="J63" s="23" t="n"/>
      <c r="K63" s="22" t="n"/>
      <c r="L63" s="10" t="inlineStr">
        <is>
          <t>ログの行数を記録</t>
        </is>
      </c>
      <c r="M63" s="22" t="n"/>
    </row>
    <row r="64" ht="44.5" customHeight="1">
      <c r="D64" s="24" t="inlineStr">
        <is>
          <t>6</t>
        </is>
      </c>
      <c r="E64" s="10" t="inlineStr">
        <is>
          <t>差分エクスポート（方式B）</t>
        </is>
      </c>
      <c r="F64" s="22" t="n"/>
      <c r="G64" s="10" t="inlineStr">
        <is>
          <t>expdp PARFILE=exp_diff_B.par（TABLES=&lt;方式B 表&gt;、CONTENT=DATA_ONLY、FLASHBACK_SCN=S1、DUMPFILE=diffB_%U.dmp、PARALLEL=4、FILESIZE=20G）（A-12）</t>
        </is>
      </c>
      <c r="H64" s="23" t="n"/>
      <c r="I64" s="23" t="n"/>
      <c r="J64" s="23" t="n"/>
      <c r="K64" s="22" t="n"/>
      <c r="L64" s="10" t="inlineStr">
        <is>
          <t>ログの行数を記録</t>
        </is>
      </c>
      <c r="M64" s="22" t="n"/>
    </row>
    <row r="65" ht="31" customHeight="1">
      <c r="D65" s="24" t="inlineStr">
        <is>
          <t>7</t>
        </is>
      </c>
      <c r="E65" s="10" t="inlineStr">
        <is>
          <t>シーケンス</t>
        </is>
      </c>
      <c r="F65" s="22" t="n"/>
      <c r="G65" s="10" t="inlineStr">
        <is>
          <t>expdp PARFILE=exp_seq.par（INCLUDE=SEQUENCE、CONTENT=METADATA_ONLY）または LAST_NUMBER 一覧で代替</t>
        </is>
      </c>
      <c r="H65" s="23" t="n"/>
      <c r="I65" s="23" t="n"/>
      <c r="J65" s="23" t="n"/>
      <c r="K65" s="22" t="n"/>
      <c r="L65" s="10" t="inlineStr"/>
      <c r="M65" s="22" t="n"/>
    </row>
    <row r="66" ht="31" customHeight="1">
      <c r="D66" s="24" t="inlineStr">
        <is>
          <t>8</t>
        </is>
      </c>
      <c r="E66" s="10" t="inlineStr">
        <is>
          <t>方式C の最終確認</t>
        </is>
      </c>
      <c r="F66" s="22" t="n"/>
      <c r="G66" s="10" t="inlineStr">
        <is>
          <t>A-19 で件数・MAX(ORA_ROWSCN) を取得し S0・初期取込件数と比較。変更ありの表は方式B として追加エクスポート</t>
        </is>
      </c>
      <c r="H66" s="23" t="n"/>
      <c r="I66" s="23" t="n"/>
      <c r="J66" s="23" t="n"/>
      <c r="K66" s="22" t="n"/>
      <c r="L66" s="10" t="inlineStr">
        <is>
          <t>無変更の確認</t>
        </is>
      </c>
      <c r="M66" s="22" t="n"/>
    </row>
    <row r="67" ht="17.5" customHeight="1">
      <c r="D67" s="24" t="inlineStr">
        <is>
          <t>9</t>
        </is>
      </c>
      <c r="E67" s="10" t="inlineStr">
        <is>
          <t>チェックサム</t>
        </is>
      </c>
      <c r="F67" s="22" t="n"/>
      <c r="G67" s="10" t="inlineStr">
        <is>
          <t>sha256sum diff*.dmp &gt; diff.sha256</t>
        </is>
      </c>
      <c r="H67" s="23" t="n"/>
      <c r="I67" s="23" t="n"/>
      <c r="J67" s="23" t="n"/>
      <c r="K67" s="22" t="n"/>
      <c r="L67" s="10" t="inlineStr"/>
      <c r="M67" s="22" t="n"/>
    </row>
    <row r="68" ht="6" customHeight="1"/>
    <row r="69" ht="20" customHeight="1">
      <c r="B69" s="19" t="inlineStr">
        <is>
          <t>5.6. 転送（差分）</t>
        </is>
      </c>
      <c r="C69" s="20" t="n"/>
      <c r="D69" s="20" t="n"/>
      <c r="E69" s="20" t="n"/>
      <c r="F69" s="20" t="n"/>
      <c r="G69" s="20" t="n"/>
      <c r="H69" s="20" t="n"/>
      <c r="I69" s="20" t="n"/>
      <c r="J69" s="20" t="n"/>
      <c r="K69" s="20" t="n"/>
      <c r="L69" s="20" t="n"/>
      <c r="M69" s="20" t="n"/>
    </row>
    <row r="70" ht="44.5" customHeight="1">
      <c r="D70" s="7" t="inlineStr">
        <is>
          <t>4.2 と同一の経路・スクリプト（pull_and_upload.sh）で、diff/ プレフィックスへ転送する。差分ダンプは小容量のため、rsync → チェックサム照合 → aws s3 cp → download_from_s3 → listdir 照合までを 30 分以内に完了することを目標とする（リハーサル実測）。download_from_s3 のタスクログで完了を確認してから取込に進む。</t>
        </is>
      </c>
    </row>
    <row r="71" ht="6" customHeight="1"/>
    <row r="72" ht="20" customHeight="1">
      <c r="B72" s="19" t="inlineStr">
        <is>
          <t>5.7. 取込（RDS）</t>
        </is>
      </c>
      <c r="C72" s="20" t="n"/>
      <c r="D72" s="20" t="n"/>
      <c r="E72" s="20" t="n"/>
      <c r="F72" s="20" t="n"/>
      <c r="G72" s="20" t="n"/>
      <c r="H72" s="20" t="n"/>
      <c r="I72" s="20" t="n"/>
      <c r="J72" s="20" t="n"/>
      <c r="K72" s="20" t="n"/>
      <c r="L72" s="20" t="n"/>
      <c r="M72" s="20" t="n"/>
    </row>
    <row r="73" ht="17.5" customHeight="1">
      <c r="D73" s="8" t="inlineStr">
        <is>
          <t>No</t>
        </is>
      </c>
      <c r="E73" s="8" t="inlineStr">
        <is>
          <t>作業</t>
        </is>
      </c>
      <c r="F73" s="22" t="n"/>
      <c r="G73" s="8" t="inlineStr">
        <is>
          <t>内容・コマンド（付録A）</t>
        </is>
      </c>
      <c r="H73" s="23" t="n"/>
      <c r="I73" s="23" t="n"/>
      <c r="J73" s="23" t="n"/>
      <c r="K73" s="22" t="n"/>
      <c r="L73" s="8" t="inlineStr">
        <is>
          <t>確認事項</t>
        </is>
      </c>
      <c r="M73" s="22" t="n"/>
    </row>
    <row r="74" ht="44.5" customHeight="1">
      <c r="D74" s="24" t="inlineStr">
        <is>
          <t>1</t>
        </is>
      </c>
      <c r="E74" s="10" t="inlineStr">
        <is>
          <t>方式B：制約・トリガーの無効化</t>
        </is>
      </c>
      <c r="F74" s="22" t="n"/>
      <c r="G74" s="10" t="inlineStr">
        <is>
          <t>diff_B_load.sql：対象表を参照する FK 制約（子表側）を DISABLE、対象表のトリガーを DISABLE（A-13）。※TRUNCATE は FK で参照されているとエラー（ORA-02266）になるため</t>
        </is>
      </c>
      <c r="H74" s="23" t="n"/>
      <c r="I74" s="23" t="n"/>
      <c r="J74" s="23" t="n"/>
      <c r="K74" s="22" t="n"/>
      <c r="L74" s="10" t="inlineStr">
        <is>
          <t>無効化一覧を記録</t>
        </is>
      </c>
      <c r="M74" s="22" t="n"/>
    </row>
    <row r="75" ht="44.5" customHeight="1">
      <c r="D75" s="24" t="inlineStr">
        <is>
          <t>2</t>
        </is>
      </c>
      <c r="E75" s="10" t="inlineStr">
        <is>
          <t>方式B：取込</t>
        </is>
      </c>
      <c r="F75" s="22" t="n"/>
      <c r="G75" s="10" t="inlineStr">
        <is>
          <t>impdp PARFILE=imp_diff_B.par（CONTENT=DATA_ONLY、TABLE_EXISTS_ACTION=TRUNCATE、PARALLEL=4、DUMPFILE=diffB_%U.dmp）（A-13）</t>
        </is>
      </c>
      <c r="H75" s="23" t="n"/>
      <c r="I75" s="23" t="n"/>
      <c r="J75" s="23" t="n"/>
      <c r="K75" s="22" t="n"/>
      <c r="L75" s="10" t="inlineStr">
        <is>
          <t>ログの行数が expdp と一致</t>
        </is>
      </c>
      <c r="M75" s="22" t="n"/>
    </row>
    <row r="76" ht="31" customHeight="1">
      <c r="D76" s="24" t="inlineStr">
        <is>
          <t>3</t>
        </is>
      </c>
      <c r="E76" s="10" t="inlineStr">
        <is>
          <t>方式B：制約・トリガーの有効化</t>
        </is>
      </c>
      <c r="F76" s="22" t="n"/>
      <c r="G76" s="10" t="inlineStr">
        <is>
          <t>ALTER TABLE ... ENABLE VALIDATE CONSTRAINT、ALTER TRIGGER ... ENABLE。索引の状態（UNUSABLE なし）確認</t>
        </is>
      </c>
      <c r="H76" s="23" t="n"/>
      <c r="I76" s="23" t="n"/>
      <c r="J76" s="23" t="n"/>
      <c r="K76" s="22" t="n"/>
      <c r="L76" s="10" t="inlineStr">
        <is>
          <t>制約 ENABLED／VALIDATED</t>
        </is>
      </c>
      <c r="M76" s="22" t="n"/>
    </row>
    <row r="77" ht="44.5" customHeight="1">
      <c r="D77" s="24" t="inlineStr">
        <is>
          <t>4</t>
        </is>
      </c>
      <c r="E77" s="10" t="inlineStr">
        <is>
          <t>方式A：ステージングへ取込</t>
        </is>
      </c>
      <c r="F77" s="22" t="n"/>
      <c r="G77" s="10" t="inlineStr">
        <is>
          <t>impdp PARFILE=imp_diff_A.par（CONTENT=DATA_ONLY、REMAP_SCHEMA=&lt;schema&gt;:&lt;schema&gt;_DIFF、TABLE_EXISTS_ACTION=TRUNCATE、DUMPFILE=diffA_%U.dmp）</t>
        </is>
      </c>
      <c r="H77" s="23" t="n"/>
      <c r="I77" s="23" t="n"/>
      <c r="J77" s="23" t="n"/>
      <c r="K77" s="22" t="n"/>
      <c r="L77" s="10" t="inlineStr">
        <is>
          <t>ステージング件数＝expdp 行数</t>
        </is>
      </c>
      <c r="M77" s="22" t="n"/>
    </row>
    <row r="78" ht="71.5" customHeight="1">
      <c r="D78" s="24" t="inlineStr">
        <is>
          <t>5</t>
        </is>
      </c>
      <c r="E78" s="10" t="inlineStr">
        <is>
          <t>方式A：MERGE</t>
        </is>
      </c>
      <c r="F78" s="22" t="n"/>
      <c r="G78" s="10" t="inlineStr">
        <is>
          <r>
            <rPr>
              <rFont val="ＭＳ Ｐゴシック"/>
              <color rgb="00000000"/>
              <sz val="10"/>
            </rPr>
            <t>diff_A_merge.sql（A-14）：対象表のトリガーを一時 DISABLE</t>
          </r>
          <r>
            <rPr>
              <rFont val="ＭＳ Ｐゴシック"/>
              <b val="1"/>
              <color rgb="00FF0000"/>
              <sz val="10"/>
            </rPr>
            <t>【要確認】</t>
          </r>
          <r>
            <rPr>
              <rFont val="ＭＳ Ｐゴシック"/>
              <color rgb="00000000"/>
              <sz val="10"/>
            </rPr>
            <t>→ MERGE INTO &lt;schema&gt;.&lt;表&gt; t USING &lt;schema&gt;_DIFF.&lt;表&gt; s ON (主キー) WHEN MATCHED THEN UPDATE SET &lt;非キー列&gt; WHEN NOT MATCHED THEN INSERT (...) VALUES (...); COMMIT; → トリガー ENABLE。SQL%ROWCOUNT を記録</t>
          </r>
        </is>
      </c>
      <c r="H78" s="23" t="n"/>
      <c r="I78" s="23" t="n"/>
      <c r="J78" s="23" t="n"/>
      <c r="K78" s="22" t="n"/>
      <c r="L78" s="10" t="inlineStr">
        <is>
          <t>更新＋挿入件数を記録（現行の差分件数と比較）</t>
        </is>
      </c>
      <c r="M78" s="22" t="n"/>
    </row>
    <row r="79" ht="58" customHeight="1">
      <c r="D79" s="24" t="inlineStr">
        <is>
          <t>6</t>
        </is>
      </c>
      <c r="E79" s="10" t="inlineStr">
        <is>
          <t>シーケンスの同期</t>
        </is>
      </c>
      <c r="F79" s="22" t="n"/>
      <c r="G79" s="10" t="inlineStr">
        <is>
          <t>seq_sync.sql（A-15）：現行の LAST_NUMBER と RDS の LAST_NUMBER を比較し、不足分を ALTER SEQUENCE INCREMENT BY &lt;差&gt;; SELECT nextval; ALTER SEQUENCE INCREMENT BY &lt;元の増分&gt;; で進める（または DROP／CREATE START WITH）</t>
        </is>
      </c>
      <c r="H79" s="23" t="n"/>
      <c r="I79" s="23" t="n"/>
      <c r="J79" s="23" t="n"/>
      <c r="K79" s="22" t="n"/>
      <c r="L79" s="10" t="inlineStr">
        <is>
          <t>全シーケンスで RDS ≧ 現行</t>
        </is>
      </c>
      <c r="M79" s="22" t="n"/>
    </row>
    <row r="80" ht="44.5" customHeight="1">
      <c r="D80" s="24" t="inlineStr">
        <is>
          <t>7</t>
        </is>
      </c>
      <c r="E80" s="10" t="inlineStr">
        <is>
          <t>統計情報</t>
        </is>
      </c>
      <c r="F80" s="22" t="n"/>
      <c r="G80" s="10" t="inlineStr">
        <is>
          <t>方式B の大表：DBMS_STATS.GATHER_TABLE_STATS（DEGREE 指定）。方式A：変更量が少なければ再取得不要。または事前（T−1）に取得した統計を維持</t>
        </is>
      </c>
      <c r="H80" s="23" t="n"/>
      <c r="I80" s="23" t="n"/>
      <c r="J80" s="23" t="n"/>
      <c r="K80" s="22" t="n"/>
      <c r="L80" s="10" t="inlineStr"/>
      <c r="M80" s="22" t="n"/>
    </row>
    <row r="81" ht="31" customHeight="1">
      <c r="D81" s="24" t="inlineStr">
        <is>
          <t>8</t>
        </is>
      </c>
      <c r="E81" s="10" t="inlineStr">
        <is>
          <t>事後処理</t>
        </is>
      </c>
      <c r="F81" s="22" t="n"/>
      <c r="G81" s="10" t="inlineStr">
        <is>
          <t>UTL_RECOMP、無効オブジェクト確認、索引・制約状態確認、DATA_PUMP_DIR のダンプ削除（FREMOVE）、ログの S3 退避</t>
        </is>
      </c>
      <c r="H81" s="23" t="n"/>
      <c r="I81" s="23" t="n"/>
      <c r="J81" s="23" t="n"/>
      <c r="K81" s="22" t="n"/>
      <c r="L81" s="10" t="inlineStr">
        <is>
          <t>無効オブジェクト増加なし</t>
        </is>
      </c>
      <c r="M81" s="22" t="n"/>
    </row>
    <row r="82" ht="6" customHeight="1"/>
    <row r="83" ht="20" customHeight="1">
      <c r="B83" s="19" t="inlineStr">
        <is>
          <t>5.8. 切替時の検証（短時間版）</t>
        </is>
      </c>
      <c r="C83" s="20" t="n"/>
      <c r="D83" s="20" t="n"/>
      <c r="E83" s="20" t="n"/>
      <c r="F83" s="20" t="n"/>
      <c r="G83" s="20" t="n"/>
      <c r="H83" s="20" t="n"/>
      <c r="I83" s="20" t="n"/>
      <c r="J83" s="20" t="n"/>
      <c r="K83" s="20" t="n"/>
      <c r="L83" s="20" t="n"/>
      <c r="M83" s="20" t="n"/>
    </row>
    <row r="84" ht="17.5" customHeight="1">
      <c r="D84" s="8" t="inlineStr">
        <is>
          <t>No</t>
        </is>
      </c>
      <c r="E84" s="8" t="inlineStr">
        <is>
          <t>検証</t>
        </is>
      </c>
      <c r="F84" s="22" t="n"/>
      <c r="G84" s="8" t="inlineStr">
        <is>
          <t>方法</t>
        </is>
      </c>
      <c r="H84" s="23" t="n"/>
      <c r="I84" s="23" t="n"/>
      <c r="J84" s="23" t="n"/>
      <c r="K84" s="22" t="n"/>
      <c r="L84" s="8" t="inlineStr">
        <is>
          <t>判定基準</t>
        </is>
      </c>
      <c r="M84" s="22" t="n"/>
    </row>
    <row r="85" ht="31" customHeight="1">
      <c r="D85" s="24" t="inlineStr">
        <is>
          <t>1</t>
        </is>
      </c>
      <c r="E85" s="10" t="inlineStr">
        <is>
          <t>件数照合（全表）</t>
        </is>
      </c>
      <c r="F85" s="22" t="n"/>
      <c r="G85" s="10" t="inlineStr">
        <is>
          <t>現行の S1 時点 COUNT（5.5 No.4）と RDS の COUNT を表単位で突合（verify_counts.sql の出力を Excel で比較）</t>
        </is>
      </c>
      <c r="H85" s="23" t="n"/>
      <c r="I85" s="23" t="n"/>
      <c r="J85" s="23" t="n"/>
      <c r="K85" s="22" t="n"/>
      <c r="L85" s="10" t="inlineStr">
        <is>
          <t>全表一致</t>
        </is>
      </c>
      <c r="M85" s="22" t="n"/>
    </row>
    <row r="86" ht="44.5" customHeight="1">
      <c r="D86" s="24" t="inlineStr">
        <is>
          <t>2</t>
        </is>
      </c>
      <c r="E86" s="10" t="inlineStr">
        <is>
          <t>ハッシュ照合（主要表）</t>
        </is>
      </c>
      <c r="F86" s="22" t="n"/>
      <c r="G86" s="10" t="inlineStr">
        <is>
          <t>主要表（業務上重要な表・方式A 表）について、DBMS_SQLHASH.GETHASH または SUM(ORA_HASH(主キー||主要列)) を現行（S1 時点）と RDS で比較（A-16）</t>
        </is>
      </c>
      <c r="H86" s="23" t="n"/>
      <c r="I86" s="23" t="n"/>
      <c r="J86" s="23" t="n"/>
      <c r="K86" s="22" t="n"/>
      <c r="L86" s="10" t="inlineStr">
        <is>
          <t>一致</t>
        </is>
      </c>
      <c r="M86" s="22" t="n"/>
    </row>
    <row r="87" ht="17.5" customHeight="1">
      <c r="D87" s="24" t="inlineStr">
        <is>
          <t>3</t>
        </is>
      </c>
      <c r="E87" s="10" t="inlineStr">
        <is>
          <t>シーケンス</t>
        </is>
      </c>
      <c r="F87" s="22" t="n"/>
      <c r="G87" s="10" t="inlineStr">
        <is>
          <t>RDS の LAST_NUMBER ≧ 現行</t>
        </is>
      </c>
      <c r="H87" s="23" t="n"/>
      <c r="I87" s="23" t="n"/>
      <c r="J87" s="23" t="n"/>
      <c r="K87" s="22" t="n"/>
      <c r="L87" s="10" t="inlineStr">
        <is>
          <t>全て</t>
        </is>
      </c>
      <c r="M87" s="22" t="n"/>
    </row>
    <row r="88" ht="31" customHeight="1">
      <c r="D88" s="24" t="inlineStr">
        <is>
          <t>4</t>
        </is>
      </c>
      <c r="E88" s="10" t="inlineStr">
        <is>
          <t>オブジェクト状態</t>
        </is>
      </c>
      <c r="F88" s="22" t="n"/>
      <c r="G88" s="10" t="inlineStr">
        <is>
          <t>無効オブジェクト（初期取込時と同数以下）、索引 VALID、制約 ENABLED／VALIDATED、トリガー ENABLED</t>
        </is>
      </c>
      <c r="H88" s="23" t="n"/>
      <c r="I88" s="23" t="n"/>
      <c r="J88" s="23" t="n"/>
      <c r="K88" s="22" t="n"/>
      <c r="L88" s="10" t="inlineStr"/>
      <c r="M88" s="22" t="n"/>
    </row>
    <row r="89" ht="44.5" customHeight="1">
      <c r="D89" s="24" t="inlineStr">
        <is>
          <t>5</t>
        </is>
      </c>
      <c r="E89" s="10" t="inlineStr">
        <is>
          <t>アプリ疎通</t>
        </is>
      </c>
      <c r="F89" s="22" t="n"/>
      <c r="G89" s="10" t="inlineStr">
        <is>
          <t>Tomcat 起動 → ログイン → 主要画面の参照・更新（テストデータ）→ API 呼出し。ASTERIA テストフロー、JP1 テストジョブ、Data Loader 接続テスト</t>
        </is>
      </c>
      <c r="H89" s="23" t="n"/>
      <c r="I89" s="23" t="n"/>
      <c r="J89" s="23" t="n"/>
      <c r="K89" s="22" t="n"/>
      <c r="L89" s="10" t="inlineStr">
        <is>
          <t>正常</t>
        </is>
      </c>
      <c r="M89" s="22" t="n"/>
    </row>
    <row r="90" ht="17.5" customHeight="1">
      <c r="D90" s="24" t="inlineStr">
        <is>
          <t>6</t>
        </is>
      </c>
      <c r="E90" s="10" t="inlineStr">
        <is>
          <t>SYSDATE・タイムゾーン</t>
        </is>
      </c>
      <c r="F90" s="22" t="n"/>
      <c r="G90" s="10" t="inlineStr">
        <is>
          <t>SELECT SYSDATE, SYSTIMESTAMP, DBTIMEZONE FROM dual; が JST</t>
        </is>
      </c>
      <c r="H90" s="23" t="n"/>
      <c r="I90" s="23" t="n"/>
      <c r="J90" s="23" t="n"/>
      <c r="K90" s="22" t="n"/>
      <c r="L90" s="10" t="inlineStr">
        <is>
          <t>一致</t>
        </is>
      </c>
      <c r="M90" s="22" t="n"/>
    </row>
    <row r="91" ht="6" customHeight="1"/>
    <row r="92" ht="20" customHeight="1">
      <c r="B92" s="19" t="inlineStr">
        <is>
          <t>5.9. 接続切替・サービス開始</t>
        </is>
      </c>
      <c r="C92" s="20" t="n"/>
      <c r="D92" s="20" t="n"/>
      <c r="E92" s="20" t="n"/>
      <c r="F92" s="20" t="n"/>
      <c r="G92" s="20" t="n"/>
      <c r="H92" s="20" t="n"/>
      <c r="I92" s="20" t="n"/>
      <c r="J92" s="20" t="n"/>
      <c r="K92" s="20" t="n"/>
      <c r="L92" s="20" t="n"/>
      <c r="M92" s="20" t="n"/>
    </row>
    <row r="93" ht="16" customHeight="1">
      <c r="D93" s="21" t="inlineStr">
        <is>
          <t>表 5-4　接続切替対象と設定箇所</t>
        </is>
      </c>
    </row>
    <row r="94" ht="17.5" customHeight="1">
      <c r="D94" s="8" t="inlineStr">
        <is>
          <t>対象</t>
        </is>
      </c>
      <c r="E94" s="22" t="n"/>
      <c r="F94" s="8" t="inlineStr">
        <is>
          <t>設定箇所</t>
        </is>
      </c>
      <c r="G94" s="23" t="n"/>
      <c r="H94" s="22" t="n"/>
      <c r="I94" s="8" t="inlineStr">
        <is>
          <t>設定内容</t>
        </is>
      </c>
      <c r="J94" s="23" t="n"/>
      <c r="K94" s="22" t="n"/>
      <c r="L94" s="8" t="inlineStr">
        <is>
          <t>確認</t>
        </is>
      </c>
      <c r="M94" s="22" t="n"/>
    </row>
    <row r="95" ht="58" customHeight="1">
      <c r="D95" s="10" t="inlineStr">
        <is>
          <t>Tomcat JNDI DataSource（AP／API 各インスタンス）</t>
        </is>
      </c>
      <c r="E95" s="22" t="n"/>
      <c r="F95" s="10" t="inlineStr">
        <is>
          <t>CATALINA_BASE/conf/context.xml（Tomcat JDBC Pool）</t>
        </is>
      </c>
      <c r="G95" s="23" t="n"/>
      <c r="H95" s="22" t="n"/>
      <c r="I95" s="10" t="inlineStr">
        <is>
          <t>url=jdbc:oracle:thin:@//&lt;RDS エンドポイント&gt;:1521/&lt;サービス名&gt;、ojdbc8（19c）、ユーザ・パスワード（Secrets Manager 等）、プールサイズは現行踏襲</t>
        </is>
      </c>
      <c r="J95" s="23" t="n"/>
      <c r="K95" s="22" t="n"/>
      <c r="L95" s="10" t="inlineStr">
        <is>
          <t>起動ログ・ログイン確認</t>
        </is>
      </c>
      <c r="M95" s="22" t="n"/>
    </row>
    <row r="96" ht="31" customHeight="1">
      <c r="D96" s="10" t="inlineStr">
        <is>
          <t>ASTERIA Warp 2406</t>
        </is>
      </c>
      <c r="E96" s="22" t="n"/>
      <c r="F96" s="10" t="inlineStr">
        <is>
          <t>フローデザイナーの接続定義（Oracle）</t>
        </is>
      </c>
      <c r="G96" s="23" t="n"/>
      <c r="H96" s="22" t="n"/>
      <c r="I96" s="10" t="inlineStr">
        <is>
          <t>JDBC URL を RDS へ、ドライバ ojdbc8、TLS 要否</t>
        </is>
      </c>
      <c r="J96" s="23" t="n"/>
      <c r="K96" s="22" t="n"/>
      <c r="L96" s="10" t="inlineStr">
        <is>
          <t>テストフロー実行</t>
        </is>
      </c>
      <c r="M96" s="22" t="n"/>
    </row>
    <row r="97" ht="44.5" customHeight="1">
      <c r="D97" s="10" t="inlineStr">
        <is>
          <t>シェル／バッチ（sqlplus・SQL*Loader）・JP1 ジョブ</t>
        </is>
      </c>
      <c r="E97" s="22" t="n"/>
      <c r="F97" s="10" t="inlineStr">
        <is>
          <t>新 AP/API サーバの tnsnames.ora、スクリプト内の接続文字列・環境変数（ORACLE_HOME→Instant Client、TNS_ADMIN）</t>
        </is>
      </c>
      <c r="G97" s="23" t="n"/>
      <c r="H97" s="22" t="n"/>
      <c r="I97" s="10" t="inlineStr">
        <is>
          <r>
            <rPr>
              <rFont val="ＭＳ Ｐゴシック"/>
              <color rgb="00000000"/>
              <sz val="10"/>
            </rPr>
            <t>SERVICE_NAME 接続へ統一。SID 接続の箇所を洗い出して修正</t>
          </r>
          <r>
            <rPr>
              <rFont val="ＭＳ Ｐゴシック"/>
              <b val="1"/>
              <color rgb="00FF0000"/>
              <sz val="10"/>
            </rPr>
            <t>【要確認】</t>
          </r>
        </is>
      </c>
      <c r="J97" s="23" t="n"/>
      <c r="K97" s="22" t="n"/>
      <c r="L97" s="10" t="inlineStr">
        <is>
          <t>テストジョブ実行</t>
        </is>
      </c>
      <c r="M97" s="22" t="n"/>
    </row>
    <row r="98" ht="31" customHeight="1">
      <c r="D98" s="10" t="inlineStr">
        <is>
          <t>Salesforce Data Loader（Windows Server 2025）</t>
        </is>
      </c>
      <c r="E98" s="22" t="n"/>
      <c r="F98" s="10" t="inlineStr">
        <is>
          <t>Data Loader の DB 接続設定（database-conf.xml 等）または経由する ASTERIA</t>
        </is>
      </c>
      <c r="G98" s="23" t="n"/>
      <c r="H98" s="22" t="n"/>
      <c r="I98" s="10" t="inlineStr">
        <is>
          <r>
            <rPr>
              <rFont val="ＭＳ Ｐゴシック"/>
              <color rgb="00000000"/>
              <sz val="10"/>
            </rPr>
            <t>JDBC URL を RDS へ、ドライバ更新</t>
          </r>
          <r>
            <rPr>
              <rFont val="ＭＳ Ｐゴシック"/>
              <b val="1"/>
              <color rgb="00FF0000"/>
              <sz val="10"/>
            </rPr>
            <t>【要確認】</t>
          </r>
          <r>
            <rPr>
              <rFont val="ＭＳ Ｐゴシック"/>
              <color rgb="00000000"/>
              <sz val="10"/>
            </rPr>
            <t>接続方式</t>
          </r>
        </is>
      </c>
      <c r="J98" s="23" t="n"/>
      <c r="K98" s="22" t="n"/>
      <c r="L98" s="10" t="inlineStr">
        <is>
          <t>抽出・登録テスト</t>
        </is>
      </c>
      <c r="M98" s="22" t="n"/>
    </row>
    <row r="99" ht="31" customHeight="1">
      <c r="D99" s="10" t="inlineStr">
        <is>
          <t>監視（Tivoli／CloudWatch）</t>
        </is>
      </c>
      <c r="E99" s="22" t="n"/>
      <c r="F99" s="10" t="inlineStr">
        <is>
          <t>監視定義</t>
        </is>
      </c>
      <c r="G99" s="23" t="n"/>
      <c r="H99" s="22" t="n"/>
      <c r="I99" s="10" t="inlineStr">
        <is>
          <t>RDS の監視項目を有効化（9 章）</t>
        </is>
      </c>
      <c r="J99" s="23" t="n"/>
      <c r="K99" s="22" t="n"/>
      <c r="L99" s="10" t="inlineStr">
        <is>
          <t>アラート確認</t>
        </is>
      </c>
      <c r="M99" s="22" t="n"/>
    </row>
    <row r="100" ht="44.5" customHeight="1">
      <c r="D100" s="10" t="inlineStr">
        <is>
          <t>連携先（FWSS・eHUB・SFDC）</t>
        </is>
      </c>
      <c r="E100" s="22" t="n"/>
      <c r="F100" s="10" t="inlineStr">
        <is>
          <t>連携先側の接続先（HULFT・ASTERIA・API の IP／ホスト名）</t>
        </is>
      </c>
      <c r="G100" s="23" t="n"/>
      <c r="H100" s="22" t="n"/>
      <c r="I100" s="10" t="inlineStr">
        <is>
          <r>
            <rPr>
              <rFont val="ＭＳ Ｐゴシック"/>
              <color rgb="00000000"/>
              <sz val="10"/>
            </rPr>
            <t>AP/API サーバの新アドレスへ変更（DB 直結の連携先がある場合は RDS エンドポイント）</t>
          </r>
          <r>
            <rPr>
              <rFont val="ＭＳ Ｐゴシック"/>
              <b val="1"/>
              <color rgb="00FF0000"/>
              <sz val="10"/>
            </rPr>
            <t>【要確認】</t>
          </r>
        </is>
      </c>
      <c r="J100" s="23" t="n"/>
      <c r="K100" s="22" t="n"/>
      <c r="L100" s="10" t="inlineStr">
        <is>
          <t>連携テスト</t>
        </is>
      </c>
      <c r="M100" s="22" t="n"/>
    </row>
    <row r="101" ht="31" customHeight="1">
      <c r="D101" s="7" t="inlineStr">
        <is>
          <t>サービス開始後、現行環境は AP・DB を停止し EC2 を stop 状態で 1 か月保持する（移行仕様書 A.7）。現行 DB を再起動する場合は RESTRICTED SESSION を解除しないまま保持し、誤更新を防ぐ。</t>
        </is>
      </c>
    </row>
    <row r="102" ht="6" customHeight="1"/>
    <row r="103" ht="20" customHeight="1">
      <c r="B103" s="19" t="inlineStr">
        <is>
          <t>5.10. 切戻し手順</t>
        </is>
      </c>
      <c r="C103" s="20" t="n"/>
      <c r="D103" s="20" t="n"/>
      <c r="E103" s="20" t="n"/>
      <c r="F103" s="20" t="n"/>
      <c r="G103" s="20" t="n"/>
      <c r="H103" s="20" t="n"/>
      <c r="I103" s="20" t="n"/>
      <c r="J103" s="20" t="n"/>
      <c r="K103" s="20" t="n"/>
      <c r="L103" s="20" t="n"/>
      <c r="M103" s="20" t="n"/>
    </row>
    <row r="104" ht="31" customHeight="1">
      <c r="D104" s="7" t="inlineStr">
        <is>
          <t>切戻し判断基準：T+3:00 時点で取込・検証が完了していない、件数・ハッシュの不一致が解消できない、接続切替後の業務確認で当日中に復旧できない重大障害が発生した、のいずれか。</t>
        </is>
      </c>
    </row>
    <row r="105" ht="17.5" customHeight="1">
      <c r="D105" s="8" t="inlineStr">
        <is>
          <t>No</t>
        </is>
      </c>
      <c r="E105" s="8" t="inlineStr">
        <is>
          <t>作業</t>
        </is>
      </c>
      <c r="F105" s="22" t="n"/>
      <c r="G105" s="8" t="inlineStr">
        <is>
          <t>内容</t>
        </is>
      </c>
      <c r="H105" s="23" t="n"/>
      <c r="I105" s="23" t="n"/>
      <c r="J105" s="23" t="n"/>
      <c r="K105" s="23" t="n"/>
      <c r="L105" s="23" t="n"/>
      <c r="M105" s="22" t="n"/>
    </row>
    <row r="106" ht="17.5" customHeight="1">
      <c r="D106" s="24" t="inlineStr">
        <is>
          <t>1</t>
        </is>
      </c>
      <c r="E106" s="10" t="inlineStr">
        <is>
          <t>切戻し決定・周知</t>
        </is>
      </c>
      <c r="F106" s="22" t="n"/>
      <c r="G106" s="10" t="inlineStr">
        <is>
          <t>移行リーダーが決定し、関係者・連携先へ周知</t>
        </is>
      </c>
      <c r="H106" s="23" t="n"/>
      <c r="I106" s="23" t="n"/>
      <c r="J106" s="23" t="n"/>
      <c r="K106" s="23" t="n"/>
      <c r="L106" s="23" t="n"/>
      <c r="M106" s="22" t="n"/>
    </row>
    <row r="107" ht="31" customHeight="1">
      <c r="D107" s="24" t="inlineStr">
        <is>
          <t>2</t>
        </is>
      </c>
      <c r="E107" s="10" t="inlineStr">
        <is>
          <t>新環境の停止</t>
        </is>
      </c>
      <c r="F107" s="22" t="n"/>
      <c r="G107" s="10" t="inlineStr">
        <is>
          <t>Tomcat／ASTERIA／JP1／Data Loader を停止し、RDS への接続を遮断（SG から一時的に許可を外す等）</t>
        </is>
      </c>
      <c r="H107" s="23" t="n"/>
      <c r="I107" s="23" t="n"/>
      <c r="J107" s="23" t="n"/>
      <c r="K107" s="23" t="n"/>
      <c r="L107" s="23" t="n"/>
      <c r="M107" s="22" t="n"/>
    </row>
    <row r="108" ht="44.5" customHeight="1">
      <c r="D108" s="24" t="inlineStr">
        <is>
          <t>3</t>
        </is>
      </c>
      <c r="E108" s="10" t="inlineStr">
        <is>
          <t>現行の再開</t>
        </is>
      </c>
      <c r="F108" s="22" t="n"/>
      <c r="G108" s="10" t="inlineStr">
        <is>
          <t>現行 DB の RESTRICTED SESSION 解除（ALTER SYSTEM DISABLE RESTRICTED SESSION）、業務ユーザのロック解除、AP／API・ASTERIA・HULFT・JP1・Data Loader の起動。現行 DB は差分エクスポート中に更新していないため、データの復元は不要</t>
        </is>
      </c>
      <c r="H108" s="23" t="n"/>
      <c r="I108" s="23" t="n"/>
      <c r="J108" s="23" t="n"/>
      <c r="K108" s="23" t="n"/>
      <c r="L108" s="23" t="n"/>
      <c r="M108" s="22" t="n"/>
    </row>
    <row r="109" ht="17.5" customHeight="1">
      <c r="D109" s="24" t="inlineStr">
        <is>
          <t>4</t>
        </is>
      </c>
      <c r="E109" s="10" t="inlineStr">
        <is>
          <t>連携先の接続先復旧</t>
        </is>
      </c>
      <c r="F109" s="22" t="n"/>
      <c r="G109" s="10" t="inlineStr">
        <is>
          <t>連携先に現行アドレスでの再開を依頼</t>
        </is>
      </c>
      <c r="H109" s="23" t="n"/>
      <c r="I109" s="23" t="n"/>
      <c r="J109" s="23" t="n"/>
      <c r="K109" s="23" t="n"/>
      <c r="L109" s="23" t="n"/>
      <c r="M109" s="22" t="n"/>
    </row>
    <row r="110" ht="17.5" customHeight="1">
      <c r="D110" s="24" t="inlineStr">
        <is>
          <t>5</t>
        </is>
      </c>
      <c r="E110" s="10" t="inlineStr">
        <is>
          <t>業務確認・サービス再開</t>
        </is>
      </c>
      <c r="F110" s="22" t="n"/>
      <c r="G110" s="10" t="inlineStr">
        <is>
          <t>業務主管の確認後にサービス再開を宣言</t>
        </is>
      </c>
      <c r="H110" s="23" t="n"/>
      <c r="I110" s="23" t="n"/>
      <c r="J110" s="23" t="n"/>
      <c r="K110" s="23" t="n"/>
      <c r="L110" s="23" t="n"/>
      <c r="M110" s="22" t="n"/>
    </row>
    <row r="111" ht="31" customHeight="1">
      <c r="D111" s="24" t="inlineStr">
        <is>
          <t>6</t>
        </is>
      </c>
      <c r="E111" s="10" t="inlineStr">
        <is>
          <t>RDS の扱い</t>
        </is>
      </c>
      <c r="F111" s="22" t="n"/>
      <c r="G111" s="10" t="inlineStr">
        <is>
          <t>原因分析のため RDS はそのまま保持（必要に応じてスナップショット取得）。再挑戦時は基点スナップショットから再度復元し、5.3 からやり直す</t>
        </is>
      </c>
      <c r="H111" s="23" t="n"/>
      <c r="I111" s="23" t="n"/>
      <c r="J111" s="23" t="n"/>
      <c r="K111" s="23" t="n"/>
      <c r="L111" s="23" t="n"/>
      <c r="M111" s="22" t="n"/>
    </row>
    <row r="112" ht="17.5" customHeight="1">
      <c r="D112" s="24" t="inlineStr">
        <is>
          <t>7</t>
        </is>
      </c>
      <c r="E112" s="10" t="inlineStr">
        <is>
          <t>再計画</t>
        </is>
      </c>
      <c r="F112" s="22" t="n"/>
      <c r="G112" s="10" t="inlineStr">
        <is>
          <t>原因・対策を整理し、再切替日を計画（次の計画保守時間帯）</t>
        </is>
      </c>
      <c r="H112" s="23" t="n"/>
      <c r="I112" s="23" t="n"/>
      <c r="J112" s="23" t="n"/>
      <c r="K112" s="23" t="n"/>
      <c r="L112" s="23" t="n"/>
      <c r="M112" s="22" t="n"/>
    </row>
  </sheetData>
  <mergeCells count="239">
    <mergeCell ref="E12:I12"/>
    <mergeCell ref="G59:K59"/>
    <mergeCell ref="D100:E100"/>
    <mergeCell ref="I97:K97"/>
    <mergeCell ref="E62:F62"/>
    <mergeCell ref="G77:K77"/>
    <mergeCell ref="G110:M110"/>
    <mergeCell ref="E55:I55"/>
    <mergeCell ref="G86:K86"/>
    <mergeCell ref="J10:K10"/>
    <mergeCell ref="K33:L33"/>
    <mergeCell ref="E111:F111"/>
    <mergeCell ref="E23:F23"/>
    <mergeCell ref="D39:M39"/>
    <mergeCell ref="E52:I52"/>
    <mergeCell ref="L66:M66"/>
    <mergeCell ref="G67:K67"/>
    <mergeCell ref="L75:M75"/>
    <mergeCell ref="L53:M53"/>
    <mergeCell ref="G61:K61"/>
    <mergeCell ref="I96:K96"/>
    <mergeCell ref="F100:H100"/>
    <mergeCell ref="E48:I48"/>
    <mergeCell ref="G32:J32"/>
    <mergeCell ref="D14:M14"/>
    <mergeCell ref="J9:K9"/>
    <mergeCell ref="K26:L26"/>
    <mergeCell ref="E64:F64"/>
    <mergeCell ref="K35:L35"/>
    <mergeCell ref="E73:F73"/>
    <mergeCell ref="E79:F79"/>
    <mergeCell ref="L12:M12"/>
    <mergeCell ref="E87:F87"/>
    <mergeCell ref="I98:K98"/>
    <mergeCell ref="E63:F63"/>
    <mergeCell ref="E13:I13"/>
    <mergeCell ref="B92:M92"/>
    <mergeCell ref="L45:M45"/>
    <mergeCell ref="G62:K62"/>
    <mergeCell ref="G87:K87"/>
    <mergeCell ref="E65:F65"/>
    <mergeCell ref="E34:F34"/>
    <mergeCell ref="E105:F105"/>
    <mergeCell ref="E27:F27"/>
    <mergeCell ref="G89:K89"/>
    <mergeCell ref="E36:F36"/>
    <mergeCell ref="L79:M79"/>
    <mergeCell ref="G65:K65"/>
    <mergeCell ref="G79:K79"/>
    <mergeCell ref="G112:M112"/>
    <mergeCell ref="G73:K73"/>
    <mergeCell ref="G88:K88"/>
    <mergeCell ref="G18:J18"/>
    <mergeCell ref="E85:F85"/>
    <mergeCell ref="B72:M72"/>
    <mergeCell ref="L81:M81"/>
    <mergeCell ref="G63:K63"/>
    <mergeCell ref="D98:E98"/>
    <mergeCell ref="G34:J34"/>
    <mergeCell ref="K28:L28"/>
    <mergeCell ref="E75:F75"/>
    <mergeCell ref="G90:K90"/>
    <mergeCell ref="E22:F22"/>
    <mergeCell ref="L65:M65"/>
    <mergeCell ref="K20:M20"/>
    <mergeCell ref="I100:K100"/>
    <mergeCell ref="G60:K60"/>
    <mergeCell ref="K30:L30"/>
    <mergeCell ref="E50:I50"/>
    <mergeCell ref="L98:M98"/>
    <mergeCell ref="K22:M22"/>
    <mergeCell ref="D3:M3"/>
    <mergeCell ref="G20:J20"/>
    <mergeCell ref="E42:I42"/>
    <mergeCell ref="E67:F67"/>
    <mergeCell ref="D99:E99"/>
    <mergeCell ref="G29:J29"/>
    <mergeCell ref="B57:M57"/>
    <mergeCell ref="G22:J22"/>
    <mergeCell ref="E44:I44"/>
    <mergeCell ref="G31:J31"/>
    <mergeCell ref="K32:L32"/>
    <mergeCell ref="L42:M42"/>
    <mergeCell ref="K23:M23"/>
    <mergeCell ref="G21:J21"/>
    <mergeCell ref="B83:M83"/>
    <mergeCell ref="G78:K78"/>
    <mergeCell ref="J11:K11"/>
    <mergeCell ref="G23:J23"/>
    <mergeCell ref="E90:F90"/>
    <mergeCell ref="B5:M5"/>
    <mergeCell ref="E46:I46"/>
    <mergeCell ref="G84:K84"/>
    <mergeCell ref="L85:M85"/>
    <mergeCell ref="K27:L27"/>
    <mergeCell ref="L94:M94"/>
    <mergeCell ref="K18:M18"/>
    <mergeCell ref="G80:K80"/>
    <mergeCell ref="E26:F26"/>
    <mergeCell ref="L44:M44"/>
    <mergeCell ref="L84:M84"/>
    <mergeCell ref="D104:M104"/>
    <mergeCell ref="E110:F110"/>
    <mergeCell ref="G64:K64"/>
    <mergeCell ref="J12:K12"/>
    <mergeCell ref="L59:M59"/>
    <mergeCell ref="E76:F76"/>
    <mergeCell ref="E54:I54"/>
    <mergeCell ref="L46:M46"/>
    <mergeCell ref="E41:I41"/>
    <mergeCell ref="L80:M80"/>
    <mergeCell ref="E66:F66"/>
    <mergeCell ref="G33:J33"/>
    <mergeCell ref="E18:F18"/>
    <mergeCell ref="E47:I47"/>
    <mergeCell ref="E58:F58"/>
    <mergeCell ref="L61:M61"/>
    <mergeCell ref="L48:M48"/>
    <mergeCell ref="F95:H95"/>
    <mergeCell ref="E43:I43"/>
    <mergeCell ref="G26:J26"/>
    <mergeCell ref="G35:J35"/>
    <mergeCell ref="F97:H97"/>
    <mergeCell ref="E8:I8"/>
    <mergeCell ref="L47:M47"/>
    <mergeCell ref="D96:E96"/>
    <mergeCell ref="K29:L29"/>
    <mergeCell ref="G106:M106"/>
    <mergeCell ref="E20:F20"/>
    <mergeCell ref="L43:M43"/>
    <mergeCell ref="E107:F107"/>
    <mergeCell ref="E29:F29"/>
    <mergeCell ref="E10:I10"/>
    <mergeCell ref="G105:M105"/>
    <mergeCell ref="G66:K66"/>
    <mergeCell ref="L89:M89"/>
    <mergeCell ref="K31:L31"/>
    <mergeCell ref="E84:F84"/>
    <mergeCell ref="L8:M8"/>
    <mergeCell ref="E78:F78"/>
    <mergeCell ref="E31:F31"/>
    <mergeCell ref="L74:M74"/>
    <mergeCell ref="E9:I9"/>
    <mergeCell ref="L88:M88"/>
    <mergeCell ref="I94:K94"/>
    <mergeCell ref="E59:F59"/>
    <mergeCell ref="G74:K74"/>
    <mergeCell ref="G107:M107"/>
    <mergeCell ref="E77:F77"/>
    <mergeCell ref="L58:M58"/>
    <mergeCell ref="E108:F108"/>
    <mergeCell ref="E86:F86"/>
    <mergeCell ref="L10:M10"/>
    <mergeCell ref="G58:K58"/>
    <mergeCell ref="E80:F80"/>
    <mergeCell ref="L76:M76"/>
    <mergeCell ref="L50:M50"/>
    <mergeCell ref="E11:I11"/>
    <mergeCell ref="E89:F89"/>
    <mergeCell ref="D6:M6"/>
    <mergeCell ref="E45:I45"/>
    <mergeCell ref="E61:F61"/>
    <mergeCell ref="D101:M101"/>
    <mergeCell ref="L60:M60"/>
    <mergeCell ref="L9:M9"/>
    <mergeCell ref="L100:M100"/>
    <mergeCell ref="I95:K95"/>
    <mergeCell ref="L52:M52"/>
    <mergeCell ref="F99:H99"/>
    <mergeCell ref="E32:F32"/>
    <mergeCell ref="D70:M70"/>
    <mergeCell ref="E81:F81"/>
    <mergeCell ref="E112:F112"/>
    <mergeCell ref="K21:M21"/>
    <mergeCell ref="L11:M11"/>
    <mergeCell ref="D94:E94"/>
    <mergeCell ref="L77:M77"/>
    <mergeCell ref="L86:M86"/>
    <mergeCell ref="L95:M95"/>
    <mergeCell ref="K34:L34"/>
    <mergeCell ref="G81:K81"/>
    <mergeCell ref="L67:M67"/>
    <mergeCell ref="F94:H94"/>
    <mergeCell ref="E106:F106"/>
    <mergeCell ref="E33:F33"/>
    <mergeCell ref="G109:M109"/>
    <mergeCell ref="B1:M1"/>
    <mergeCell ref="L97:M97"/>
    <mergeCell ref="J13:K13"/>
    <mergeCell ref="K36:L36"/>
    <mergeCell ref="E88:F88"/>
    <mergeCell ref="L13:M13"/>
    <mergeCell ref="B69:M69"/>
    <mergeCell ref="E35:F35"/>
    <mergeCell ref="B38:M38"/>
    <mergeCell ref="L78:M78"/>
    <mergeCell ref="D95:E95"/>
    <mergeCell ref="L87:M87"/>
    <mergeCell ref="B103:M103"/>
    <mergeCell ref="E51:I51"/>
    <mergeCell ref="G111:M111"/>
    <mergeCell ref="E19:F19"/>
    <mergeCell ref="L62:M62"/>
    <mergeCell ref="E28:F28"/>
    <mergeCell ref="F96:H96"/>
    <mergeCell ref="E60:F60"/>
    <mergeCell ref="D97:E97"/>
    <mergeCell ref="G27:J27"/>
    <mergeCell ref="E74:F74"/>
    <mergeCell ref="L55:M55"/>
    <mergeCell ref="G36:J36"/>
    <mergeCell ref="L64:M64"/>
    <mergeCell ref="K19:M19"/>
    <mergeCell ref="E30:F30"/>
    <mergeCell ref="L73:M73"/>
    <mergeCell ref="L51:M51"/>
    <mergeCell ref="F98:H98"/>
    <mergeCell ref="I99:K99"/>
    <mergeCell ref="L54:M54"/>
    <mergeCell ref="E49:I49"/>
    <mergeCell ref="L63:M63"/>
    <mergeCell ref="L41:M41"/>
    <mergeCell ref="G19:J19"/>
    <mergeCell ref="G28:J28"/>
    <mergeCell ref="B16:M16"/>
    <mergeCell ref="L96:M96"/>
    <mergeCell ref="L90:M90"/>
    <mergeCell ref="B25:M25"/>
    <mergeCell ref="G76:K76"/>
    <mergeCell ref="L99:M99"/>
    <mergeCell ref="G85:K85"/>
    <mergeCell ref="L49:M49"/>
    <mergeCell ref="G30:J30"/>
    <mergeCell ref="E109:F109"/>
    <mergeCell ref="E53:I53"/>
    <mergeCell ref="G75:K75"/>
    <mergeCell ref="J8:K8"/>
    <mergeCell ref="G108:M108"/>
    <mergeCell ref="E21:F21"/>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B1:M66"/>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6. 移行後の検証</t>
        </is>
      </c>
    </row>
    <row r="2" ht="4" customHeight="1"/>
    <row r="3" ht="20" customHeight="1">
      <c r="B3" s="19" t="inlineStr">
        <is>
          <t>6.1. 検証の全体像</t>
        </is>
      </c>
      <c r="C3" s="20" t="n"/>
      <c r="D3" s="20" t="n"/>
      <c r="E3" s="20" t="n"/>
      <c r="F3" s="20" t="n"/>
      <c r="G3" s="20" t="n"/>
      <c r="H3" s="20" t="n"/>
      <c r="I3" s="20" t="n"/>
      <c r="J3" s="20" t="n"/>
      <c r="K3" s="20" t="n"/>
      <c r="L3" s="20" t="n"/>
      <c r="M3" s="20" t="n"/>
    </row>
    <row r="4" ht="31" customHeight="1">
      <c r="D4" s="7" t="inlineStr">
        <is>
          <t>検証は「初期全量移行直後（4.4）」「検証期間中（約 1 週間）」「切替時（5.8）」「切替後（初期流動）」の 4 つの時点で実施する。本章では観点別の検証項目・方法・判定基準を定める。</t>
        </is>
      </c>
    </row>
    <row r="5" ht="16" customHeight="1">
      <c r="D5" s="21" t="inlineStr">
        <is>
          <t>表 6-1　検証の時点と範囲</t>
        </is>
      </c>
    </row>
    <row r="6" ht="17.5" customHeight="1">
      <c r="D6" s="8" t="inlineStr">
        <is>
          <t>時点</t>
        </is>
      </c>
      <c r="E6" s="22" t="n"/>
      <c r="F6" s="8" t="inlineStr">
        <is>
          <t>目的</t>
        </is>
      </c>
      <c r="G6" s="23" t="n"/>
      <c r="H6" s="22" t="n"/>
      <c r="I6" s="8" t="inlineStr">
        <is>
          <t>実施する検証（本章の節）</t>
        </is>
      </c>
      <c r="J6" s="23" t="n"/>
      <c r="K6" s="23" t="n"/>
      <c r="L6" s="22" t="n"/>
      <c r="M6" s="8" t="inlineStr">
        <is>
          <t>実施者</t>
        </is>
      </c>
    </row>
    <row r="7" ht="31" customHeight="1">
      <c r="D7" s="10" t="inlineStr">
        <is>
          <t>初期全量移行直後</t>
        </is>
      </c>
      <c r="E7" s="22" t="n"/>
      <c r="F7" s="10" t="inlineStr">
        <is>
          <t>全量移行の完全性の確認、基点スナップショットの妥当性</t>
        </is>
      </c>
      <c r="G7" s="23" t="n"/>
      <c r="H7" s="22" t="n"/>
      <c r="I7" s="10" t="inlineStr">
        <is>
          <t>6.2 データ完全性（全項目）、6.5 運用（バックアップ取得）</t>
        </is>
      </c>
      <c r="J7" s="23" t="n"/>
      <c r="K7" s="23" t="n"/>
      <c r="L7" s="22" t="n"/>
      <c r="M7" s="10" t="inlineStr">
        <is>
          <t>DB 担当</t>
        </is>
      </c>
    </row>
    <row r="8" ht="31" customHeight="1">
      <c r="D8" s="10" t="inlineStr">
        <is>
          <t>検証期間中（約 1 週間）</t>
        </is>
      </c>
      <c r="E8" s="22" t="n"/>
      <c r="F8" s="10" t="inlineStr">
        <is>
          <t>アプリ・連携・性能・運用の確認（本番切替の可否判断材料）</t>
        </is>
      </c>
      <c r="G8" s="23" t="n"/>
      <c r="H8" s="22" t="n"/>
      <c r="I8" s="10" t="inlineStr">
        <is>
          <t>6.3 性能、6.4 アプリケーション接続、6.5 運用、6.2 の一部（文字・日付のサンプル確認）</t>
        </is>
      </c>
      <c r="J8" s="23" t="n"/>
      <c r="K8" s="23" t="n"/>
      <c r="L8" s="22" t="n"/>
      <c r="M8" s="10" t="inlineStr">
        <is>
          <t>AP 担当・業務主管・運用</t>
        </is>
      </c>
    </row>
    <row r="9" ht="17.5" customHeight="1">
      <c r="D9" s="10" t="inlineStr">
        <is>
          <t>切替時（4 時間枠内）</t>
        </is>
      </c>
      <c r="E9" s="22" t="n"/>
      <c r="F9" s="10" t="inlineStr">
        <is>
          <t>差分反映の完全性と疎通</t>
        </is>
      </c>
      <c r="G9" s="23" t="n"/>
      <c r="H9" s="22" t="n"/>
      <c r="I9" s="10" t="inlineStr">
        <is>
          <t>5.8 短時間版（件数・ハッシュ・シーケンス・疎通）</t>
        </is>
      </c>
      <c r="J9" s="23" t="n"/>
      <c r="K9" s="23" t="n"/>
      <c r="L9" s="22" t="n"/>
      <c r="M9" s="10" t="inlineStr">
        <is>
          <t>DB・AP 担当</t>
        </is>
      </c>
    </row>
    <row r="10" ht="31" customHeight="1">
      <c r="D10" s="10" t="inlineStr">
        <is>
          <t>切替後（初期流動 1～2 週間）</t>
        </is>
      </c>
      <c r="E10" s="22" t="n"/>
      <c r="F10" s="10" t="inlineStr">
        <is>
          <t>本番負荷での性能・運用の安定確認</t>
        </is>
      </c>
      <c r="G10" s="23" t="n"/>
      <c r="H10" s="22" t="n"/>
      <c r="I10" s="10" t="inlineStr">
        <is>
          <t>6.3 の実運用監視、6.5 のジョブ・バックアップ実績確認</t>
        </is>
      </c>
      <c r="J10" s="23" t="n"/>
      <c r="K10" s="23" t="n"/>
      <c r="L10" s="22" t="n"/>
      <c r="M10" s="10" t="inlineStr">
        <is>
          <t>運用</t>
        </is>
      </c>
    </row>
    <row r="11" ht="6" customHeight="1"/>
    <row r="12" ht="20" customHeight="1">
      <c r="B12" s="19" t="inlineStr">
        <is>
          <t>6.2. データ完全性チェック</t>
        </is>
      </c>
      <c r="C12" s="20" t="n"/>
      <c r="D12" s="20" t="n"/>
      <c r="E12" s="20" t="n"/>
      <c r="F12" s="20" t="n"/>
      <c r="G12" s="20" t="n"/>
      <c r="H12" s="20" t="n"/>
      <c r="I12" s="20" t="n"/>
      <c r="J12" s="20" t="n"/>
      <c r="K12" s="20" t="n"/>
      <c r="L12" s="20" t="n"/>
      <c r="M12" s="20" t="n"/>
    </row>
    <row r="13" ht="16" customHeight="1">
      <c r="D13" s="21" t="inlineStr">
        <is>
          <t>表 6-2　データ完全性の検証項目</t>
        </is>
      </c>
    </row>
    <row r="14" ht="17.5" customHeight="1">
      <c r="D14" s="8" t="inlineStr">
        <is>
          <t>No</t>
        </is>
      </c>
      <c r="E14" s="8" t="inlineStr">
        <is>
          <t>検証項目</t>
        </is>
      </c>
      <c r="F14" s="22" t="n"/>
      <c r="G14" s="8" t="inlineStr">
        <is>
          <t>方法（付録A）</t>
        </is>
      </c>
      <c r="H14" s="23" t="n"/>
      <c r="I14" s="23" t="n"/>
      <c r="J14" s="22" t="n"/>
      <c r="K14" s="8" t="inlineStr">
        <is>
          <t>判定基準</t>
        </is>
      </c>
      <c r="L14" s="8" t="inlineStr">
        <is>
          <t>時点</t>
        </is>
      </c>
      <c r="M14" s="22" t="n"/>
    </row>
    <row r="15" ht="44.5" customHeight="1">
      <c r="D15" s="24" t="inlineStr">
        <is>
          <t>1</t>
        </is>
      </c>
      <c r="E15" s="10" t="inlineStr">
        <is>
          <t>表の件数</t>
        </is>
      </c>
      <c r="F15" s="22" t="n"/>
      <c r="G15" s="10" t="inlineStr">
        <is>
          <t>expdp ログの行数（S0 時点）＝impdp ログの行数＝RDS の COUNT(*)（全表）。切替時は現行の S1 時点 COUNT と比較（A-16）</t>
        </is>
      </c>
      <c r="H15" s="23" t="n"/>
      <c r="I15" s="23" t="n"/>
      <c r="J15" s="22" t="n"/>
      <c r="K15" s="10" t="inlineStr">
        <is>
          <t>全表一致</t>
        </is>
      </c>
      <c r="L15" s="10" t="inlineStr">
        <is>
          <t>全量後／切替時</t>
        </is>
      </c>
      <c r="M15" s="22" t="n"/>
    </row>
    <row r="16" ht="31" customHeight="1">
      <c r="D16" s="24" t="inlineStr">
        <is>
          <t>2</t>
        </is>
      </c>
      <c r="E16" s="10" t="inlineStr">
        <is>
          <t>オブジェクト数（所有者・種別別）</t>
        </is>
      </c>
      <c r="F16" s="22" t="n"/>
      <c r="G16" s="10" t="inlineStr">
        <is>
          <t>DBA_OBJECTS を OWNER、OBJECT_TYPE で集計し現行と比較。SYS 所有・意図的除外は説明を付す</t>
        </is>
      </c>
      <c r="H16" s="23" t="n"/>
      <c r="I16" s="23" t="n"/>
      <c r="J16" s="22" t="n"/>
      <c r="K16" s="10" t="inlineStr">
        <is>
          <t>一致（差異は説明可能）</t>
        </is>
      </c>
      <c r="L16" s="10" t="inlineStr">
        <is>
          <t>全量後</t>
        </is>
      </c>
      <c r="M16" s="22" t="n"/>
    </row>
    <row r="17" ht="17.5" customHeight="1">
      <c r="D17" s="24" t="inlineStr">
        <is>
          <t>3</t>
        </is>
      </c>
      <c r="E17" s="10" t="inlineStr">
        <is>
          <t>無効オブジェクト</t>
        </is>
      </c>
      <c r="F17" s="22" t="n"/>
      <c r="G17" s="10" t="inlineStr">
        <is>
          <t>DBA_OBJECTS STATUS='INVALID' の一覧を現行と比較</t>
        </is>
      </c>
      <c r="H17" s="23" t="n"/>
      <c r="I17" s="23" t="n"/>
      <c r="J17" s="22" t="n"/>
      <c r="K17" s="10" t="inlineStr">
        <is>
          <t>現行以下</t>
        </is>
      </c>
      <c r="L17" s="10" t="inlineStr">
        <is>
          <t>全量後／切替時</t>
        </is>
      </c>
      <c r="M17" s="22" t="n"/>
    </row>
    <row r="18" ht="31" customHeight="1">
      <c r="D18" s="24" t="inlineStr">
        <is>
          <t>4</t>
        </is>
      </c>
      <c r="E18" s="10" t="inlineStr">
        <is>
          <t>制約・索引・トリガーの状態</t>
        </is>
      </c>
      <c r="F18" s="22" t="n"/>
      <c r="G18" s="10" t="inlineStr">
        <is>
          <t>DBA_CONSTRAINTS（STATUS、VALIDATED）、DBA_INDEXES（STATUS）、DBA_TRIGGERS（STATUS）を現行と比較</t>
        </is>
      </c>
      <c r="H18" s="23" t="n"/>
      <c r="I18" s="23" t="n"/>
      <c r="J18" s="22" t="n"/>
      <c r="K18" s="10" t="inlineStr">
        <is>
          <t>同一</t>
        </is>
      </c>
      <c r="L18" s="10" t="inlineStr">
        <is>
          <t>全量後／切替時</t>
        </is>
      </c>
      <c r="M18" s="22" t="n"/>
    </row>
    <row r="19" ht="31" customHeight="1">
      <c r="D19" s="24" t="inlineStr">
        <is>
          <t>5</t>
        </is>
      </c>
      <c r="E19" s="10" t="inlineStr">
        <is>
          <t>シーケンス</t>
        </is>
      </c>
      <c r="F19" s="22" t="n"/>
      <c r="G19" s="10" t="inlineStr">
        <is>
          <t>DBA_SEQUENCES の LAST_NUMBER が現行以上、CACHE・INCREMENT が同一</t>
        </is>
      </c>
      <c r="H19" s="23" t="n"/>
      <c r="I19" s="23" t="n"/>
      <c r="J19" s="22" t="n"/>
      <c r="K19" s="10" t="inlineStr">
        <is>
          <t>全て</t>
        </is>
      </c>
      <c r="L19" s="10" t="inlineStr">
        <is>
          <t>全量後／切替時</t>
        </is>
      </c>
      <c r="M19" s="22" t="n"/>
    </row>
    <row r="20" ht="31" customHeight="1">
      <c r="D20" s="24" t="inlineStr">
        <is>
          <t>6</t>
        </is>
      </c>
      <c r="E20" s="10" t="inlineStr">
        <is>
          <t>権限・ロール・シノニム・ビュー</t>
        </is>
      </c>
      <c r="F20" s="22" t="n"/>
      <c r="G20" s="10" t="inlineStr">
        <is>
          <t>DBA_TAB_PRIVS／DBA_ROLE_PRIVS／DBA_SYS_PRIVS／DBA_SYNONYMS／DBA_VIEWS の件数と内容を比較</t>
        </is>
      </c>
      <c r="H20" s="23" t="n"/>
      <c r="I20" s="23" t="n"/>
      <c r="J20" s="22" t="n"/>
      <c r="K20" s="10" t="inlineStr">
        <is>
          <t>同一</t>
        </is>
      </c>
      <c r="L20" s="10" t="inlineStr">
        <is>
          <t>全量後</t>
        </is>
      </c>
      <c r="M20" s="22" t="n"/>
    </row>
    <row r="21" ht="44.5" customHeight="1">
      <c r="D21" s="24" t="inlineStr">
        <is>
          <t>7</t>
        </is>
      </c>
      <c r="E21" s="10" t="inlineStr">
        <is>
          <t>データ内容（ハッシュ）</t>
        </is>
      </c>
      <c r="F21" s="22" t="n"/>
      <c r="G21" s="10" t="inlineStr">
        <is>
          <t>主要表・方式A 表：DBMS_SQLHASH.GETHASH（主キー順の SELECT）または SUM(ORA_HASH(列連結)) を同一時点（現行 S0＝AS OF SCN／S1）で比較（A-16）</t>
        </is>
      </c>
      <c r="H21" s="23" t="n"/>
      <c r="I21" s="23" t="n"/>
      <c r="J21" s="22" t="n"/>
      <c r="K21" s="10" t="inlineStr">
        <is>
          <t>一致</t>
        </is>
      </c>
      <c r="L21" s="10" t="inlineStr">
        <is>
          <t>全量後（サンプル）／切替時（主要表）</t>
        </is>
      </c>
      <c r="M21" s="22" t="n"/>
    </row>
    <row r="22" ht="44.5" customHeight="1">
      <c r="D22" s="24" t="inlineStr">
        <is>
          <t>8</t>
        </is>
      </c>
      <c r="E22" s="10" t="inlineStr">
        <is>
          <t>文字データ</t>
        </is>
      </c>
      <c r="F22" s="22" t="n"/>
      <c r="G22" s="10" t="inlineStr">
        <is>
          <t>日本語・記号・絵文字（4 バイト）・全角半角を含む行をサンプル抽出し、DUMP()／LENGTHB で現行と比較。AL32UTF8 同一のため変換はないことを確認</t>
        </is>
      </c>
      <c r="H22" s="23" t="n"/>
      <c r="I22" s="23" t="n"/>
      <c r="J22" s="22" t="n"/>
      <c r="K22" s="10" t="inlineStr">
        <is>
          <t>一致</t>
        </is>
      </c>
      <c r="L22" s="10" t="inlineStr">
        <is>
          <t>全量後</t>
        </is>
      </c>
      <c r="M22" s="22" t="n"/>
    </row>
    <row r="23" ht="44.5" customHeight="1">
      <c r="D23" s="24" t="inlineStr">
        <is>
          <t>9</t>
        </is>
      </c>
      <c r="E23" s="10" t="inlineStr">
        <is>
          <t>日付・時刻・タイムゾーン</t>
        </is>
      </c>
      <c r="F23" s="22" t="n"/>
      <c r="G23" s="10" t="inlineStr">
        <is>
          <t>SYSDATE・SYSTIMESTAMP・DBTIMEZONE が JST。TIMESTAMP WITH (LOCAL) TIME ZONE 列のサンプル比較。NLS_DATE_FORMAT 依存の出力</t>
        </is>
      </c>
      <c r="H23" s="23" t="n"/>
      <c r="I23" s="23" t="n"/>
      <c r="J23" s="22" t="n"/>
      <c r="K23" s="10" t="inlineStr">
        <is>
          <t>一致</t>
        </is>
      </c>
      <c r="L23" s="10" t="inlineStr">
        <is>
          <t>全量後</t>
        </is>
      </c>
      <c r="M23" s="22" t="n"/>
    </row>
    <row r="24" ht="31" customHeight="1">
      <c r="D24" s="24" t="inlineStr">
        <is>
          <t>10</t>
        </is>
      </c>
      <c r="E24" s="10" t="inlineStr">
        <is>
          <t>LOB・LONG</t>
        </is>
      </c>
      <c r="F24" s="22" t="n"/>
      <c r="G24" s="10" t="inlineStr">
        <is>
          <t>LOB サイズ合計（DBMS_LOB.GETLENGTH の SUM）・件数、LONG 列のサンプル比較</t>
        </is>
      </c>
      <c r="H24" s="23" t="n"/>
      <c r="I24" s="23" t="n"/>
      <c r="J24" s="22" t="n"/>
      <c r="K24" s="10" t="inlineStr">
        <is>
          <t>一致</t>
        </is>
      </c>
      <c r="L24" s="10" t="inlineStr">
        <is>
          <t>全量後</t>
        </is>
      </c>
      <c r="M24" s="22" t="n"/>
    </row>
    <row r="25" ht="17.5" customHeight="1">
      <c r="D25" s="24" t="inlineStr">
        <is>
          <t>11</t>
        </is>
      </c>
      <c r="E25" s="10" t="inlineStr">
        <is>
          <t>NULL・数値精度</t>
        </is>
      </c>
      <c r="F25" s="22" t="n"/>
      <c r="G25" s="10" t="inlineStr">
        <is>
          <t>主要列の COUNT(列)、SUM／MIN／MAX の集計比較</t>
        </is>
      </c>
      <c r="H25" s="23" t="n"/>
      <c r="I25" s="23" t="n"/>
      <c r="J25" s="22" t="n"/>
      <c r="K25" s="10" t="inlineStr">
        <is>
          <t>一致</t>
        </is>
      </c>
      <c r="L25" s="10" t="inlineStr">
        <is>
          <t>全量後</t>
        </is>
      </c>
      <c r="M25" s="22" t="n"/>
    </row>
    <row r="26" ht="17.5" customHeight="1">
      <c r="D26" s="24" t="inlineStr">
        <is>
          <t>12</t>
        </is>
      </c>
      <c r="E26" s="10" t="inlineStr">
        <is>
          <t>業務集計値</t>
        </is>
      </c>
      <c r="F26" s="22" t="n"/>
      <c r="G26" s="10" t="inlineStr">
        <is>
          <t>業務主管が指定する帳票・集計（件数・金額）を現行と比較</t>
        </is>
      </c>
      <c r="H26" s="23" t="n"/>
      <c r="I26" s="23" t="n"/>
      <c r="J26" s="22" t="n"/>
      <c r="K26" s="10" t="inlineStr">
        <is>
          <t>一致</t>
        </is>
      </c>
      <c r="L26" s="10" t="inlineStr">
        <is>
          <t>全量後／切替後</t>
        </is>
      </c>
      <c r="M26" s="22" t="n"/>
    </row>
    <row r="27" ht="31" customHeight="1">
      <c r="D27" s="24" t="inlineStr">
        <is>
          <t>13</t>
        </is>
      </c>
      <c r="E27" s="10" t="inlineStr">
        <is>
          <t>差分反映（方式A）</t>
        </is>
      </c>
      <c r="F27" s="22" t="n"/>
      <c r="G27" s="10" t="inlineStr">
        <is>
          <t>MERGE の更新・挿入件数 ≒ 現行の差分件数。方式A 表のハッシュ一致</t>
        </is>
      </c>
      <c r="H27" s="23" t="n"/>
      <c r="I27" s="23" t="n"/>
      <c r="J27" s="22" t="n"/>
      <c r="K27" s="10" t="inlineStr">
        <is>
          <t>一致</t>
        </is>
      </c>
      <c r="L27" s="10" t="inlineStr">
        <is>
          <t>切替時</t>
        </is>
      </c>
      <c r="M27" s="22" t="n"/>
    </row>
    <row r="28" ht="31" customHeight="1">
      <c r="D28" s="24" t="inlineStr">
        <is>
          <t>14</t>
        </is>
      </c>
      <c r="E28" s="10" t="inlineStr">
        <is>
          <t>差分反映（方式B／C）</t>
        </is>
      </c>
      <c r="F28" s="22" t="n"/>
      <c r="G28" s="10" t="inlineStr">
        <is>
          <t>方式B：件数一致。方式C：件数・ORA_ROWSCN による無変更確認</t>
        </is>
      </c>
      <c r="H28" s="23" t="n"/>
      <c r="I28" s="23" t="n"/>
      <c r="J28" s="22" t="n"/>
      <c r="K28" s="10" t="inlineStr">
        <is>
          <t>一致</t>
        </is>
      </c>
      <c r="L28" s="10" t="inlineStr">
        <is>
          <t>切替時</t>
        </is>
      </c>
      <c r="M28" s="22" t="n"/>
    </row>
    <row r="29" ht="6" customHeight="1"/>
    <row r="30" ht="20" customHeight="1">
      <c r="B30" s="19" t="inlineStr">
        <is>
          <t>6.3. 性能テスト</t>
        </is>
      </c>
      <c r="C30" s="20" t="n"/>
      <c r="D30" s="20" t="n"/>
      <c r="E30" s="20" t="n"/>
      <c r="F30" s="20" t="n"/>
      <c r="G30" s="20" t="n"/>
      <c r="H30" s="20" t="n"/>
      <c r="I30" s="20" t="n"/>
      <c r="J30" s="20" t="n"/>
      <c r="K30" s="20" t="n"/>
      <c r="L30" s="20" t="n"/>
      <c r="M30" s="20" t="n"/>
    </row>
    <row r="31" ht="31" customHeight="1">
      <c r="D31" s="7" t="inlineStr">
        <is>
          <t>性能要件は現行を踏襲する（移行仕様書 3.3、表 3-2：オンライン応答 2～3 秒、サービス時間帯）。19c のオプティマイザ挙動・RDS のストレージ性能（gp3）による差異を検証期間中に確認し、切替前に対策する。</t>
        </is>
      </c>
    </row>
    <row r="32" ht="16" customHeight="1">
      <c r="D32" s="21" t="inlineStr">
        <is>
          <t>表 6-3　性能テスト項目</t>
        </is>
      </c>
    </row>
    <row r="33" ht="17.5" customHeight="1">
      <c r="D33" s="8" t="inlineStr">
        <is>
          <t>No</t>
        </is>
      </c>
      <c r="E33" s="8" t="inlineStr">
        <is>
          <t>観点</t>
        </is>
      </c>
      <c r="F33" s="8" t="inlineStr">
        <is>
          <t>内容</t>
        </is>
      </c>
      <c r="G33" s="23" t="n"/>
      <c r="H33" s="23" t="n"/>
      <c r="I33" s="22" t="n"/>
      <c r="J33" s="8" t="inlineStr">
        <is>
          <t>基準</t>
        </is>
      </c>
      <c r="K33" s="22" t="n"/>
      <c r="L33" s="8" t="inlineStr">
        <is>
          <t>方法・ツール</t>
        </is>
      </c>
      <c r="M33" s="22" t="n"/>
    </row>
    <row r="34" ht="44.5" customHeight="1">
      <c r="D34" s="24" t="inlineStr">
        <is>
          <t>1</t>
        </is>
      </c>
      <c r="E34" s="10" t="inlineStr">
        <is>
          <t>バッチ処理時間</t>
        </is>
      </c>
      <c r="F34" s="10" t="inlineStr">
        <is>
          <t>主要 JP1 ジョブ・ASTERIA フロー（日次・月次・期末）を本番相当データで実行し、現行実績と比較</t>
        </is>
      </c>
      <c r="G34" s="23" t="n"/>
      <c r="H34" s="23" t="n"/>
      <c r="I34" s="22" t="n"/>
      <c r="J34" s="10" t="inlineStr">
        <is>
          <r>
            <rPr>
              <rFont val="ＭＳ Ｐゴシック"/>
              <color rgb="00000000"/>
              <sz val="10"/>
            </rPr>
            <t>現行実績の ±20% 以内</t>
          </r>
          <r>
            <rPr>
              <rFont val="ＭＳ Ｐゴシック"/>
              <b val="1"/>
              <color rgb="00FF0000"/>
              <sz val="10"/>
            </rPr>
            <t>【要確認】</t>
          </r>
          <r>
            <rPr>
              <rFont val="ＭＳ Ｐゴシック"/>
              <color rgb="00000000"/>
              <sz val="10"/>
            </rPr>
            <t>、バッチウィンドウ内に完了</t>
          </r>
        </is>
      </c>
      <c r="K34" s="22" t="n"/>
      <c r="L34" s="10" t="inlineStr">
        <is>
          <t>JP1 実績、フローログ、Performance Insights</t>
        </is>
      </c>
      <c r="M34" s="22" t="n"/>
    </row>
    <row r="35" ht="31" customHeight="1">
      <c r="D35" s="24" t="inlineStr">
        <is>
          <t>2</t>
        </is>
      </c>
      <c r="E35" s="10" t="inlineStr">
        <is>
          <t>オンライン応答</t>
        </is>
      </c>
      <c r="F35" s="10" t="inlineStr">
        <is>
          <t>主要画面・API（表 8-1 の処理）を想定同時ユーザ数で負荷試験</t>
        </is>
      </c>
      <c r="G35" s="23" t="n"/>
      <c r="H35" s="23" t="n"/>
      <c r="I35" s="22" t="n"/>
      <c r="J35" s="10" t="inlineStr">
        <is>
          <t>応答 2～3 秒（要件）、現行同等</t>
        </is>
      </c>
      <c r="K35" s="22" t="n"/>
      <c r="L35" s="10" t="inlineStr">
        <is>
          <r>
            <rPr>
              <rFont val="ＭＳ Ｐゴシック"/>
              <color rgb="00000000"/>
              <sz val="10"/>
            </rPr>
            <t>JMeter 等</t>
          </r>
          <r>
            <rPr>
              <rFont val="ＭＳ Ｐゴシック"/>
              <b val="1"/>
              <color rgb="00FF0000"/>
              <sz val="10"/>
            </rPr>
            <t>【要確認】</t>
          </r>
          <r>
            <rPr>
              <rFont val="ＭＳ Ｐゴシック"/>
              <color rgb="00000000"/>
              <sz val="10"/>
            </rPr>
            <t>、Tomcat アクセスログ</t>
          </r>
        </is>
      </c>
      <c r="M35" s="22" t="n"/>
    </row>
    <row r="36" ht="44.5" customHeight="1">
      <c r="D36" s="24" t="inlineStr">
        <is>
          <t>3</t>
        </is>
      </c>
      <c r="E36" s="10" t="inlineStr">
        <is>
          <t>SQL 実行計画</t>
        </is>
      </c>
      <c r="F36" s="10" t="inlineStr">
        <is>
          <t>主要 SQL（TOP N、バッチの重い SQL）の実行計画を現行（AWR／SQL トレース）と 19c で比較。差異のある SQL を性能測定</t>
        </is>
      </c>
      <c r="G36" s="23" t="n"/>
      <c r="H36" s="23" t="n"/>
      <c r="I36" s="22" t="n"/>
      <c r="J36" s="10" t="inlineStr">
        <is>
          <t>劣化なし</t>
        </is>
      </c>
      <c r="K36" s="22" t="n"/>
      <c r="L36" s="10" t="inlineStr">
        <is>
          <t>DBMS_XPLAN、Performance Insights、（EE）SQL Plan Management</t>
        </is>
      </c>
      <c r="M36" s="22" t="n"/>
    </row>
    <row r="37" ht="31" customHeight="1">
      <c r="D37" s="24" t="inlineStr">
        <is>
          <t>4</t>
        </is>
      </c>
      <c r="E37" s="10" t="inlineStr">
        <is>
          <t>リソース使用率</t>
        </is>
      </c>
      <c r="F37" s="10" t="inlineStr">
        <is>
          <t>CPU、メモリ、IOPS、スループット、接続数を監視。gp3 のベースライン（3,000 IOPS／125MB/s）超過の有無</t>
        </is>
      </c>
      <c r="G37" s="23" t="n"/>
      <c r="H37" s="23" t="n"/>
      <c r="I37" s="22" t="n"/>
      <c r="J37" s="10" t="inlineStr">
        <is>
          <t>CPU 70% 以下、IOPS・スループットが上限に張り付かない</t>
        </is>
      </c>
      <c r="K37" s="22" t="n"/>
      <c r="L37" s="10" t="inlineStr">
        <is>
          <t>CloudWatch、拡張モニタリング</t>
        </is>
      </c>
      <c r="M37" s="22" t="n"/>
    </row>
    <row r="38" ht="44.5" customHeight="1">
      <c r="D38" s="24" t="inlineStr">
        <is>
          <t>5</t>
        </is>
      </c>
      <c r="E38" s="10" t="inlineStr">
        <is>
          <t>接続・プール</t>
        </is>
      </c>
      <c r="F38" s="10" t="inlineStr">
        <is>
          <t>Tomcat JDBC Pool の初期・最大接続数、ASTERIA・バッチの同時接続を合計し、processes パラメータに収まること。接続確立時間</t>
        </is>
      </c>
      <c r="G38" s="23" t="n"/>
      <c r="H38" s="23" t="n"/>
      <c r="I38" s="22" t="n"/>
      <c r="J38" s="10" t="inlineStr">
        <is>
          <t>接続エラーなし</t>
        </is>
      </c>
      <c r="K38" s="22" t="n"/>
      <c r="L38" s="10" t="inlineStr">
        <is>
          <t>v$session、CloudWatch DatabaseConnections</t>
        </is>
      </c>
      <c r="M38" s="22" t="n"/>
    </row>
    <row r="39" ht="31" customHeight="1">
      <c r="D39" s="24" t="inlineStr">
        <is>
          <t>6</t>
        </is>
      </c>
      <c r="E39" s="10" t="inlineStr">
        <is>
          <t>Data Pump 所要時間</t>
        </is>
      </c>
      <c r="F39" s="10" t="inlineStr">
        <is>
          <t>各工程の実測（3.7 リハーサル）</t>
        </is>
      </c>
      <c r="G39" s="23" t="n"/>
      <c r="H39" s="23" t="n"/>
      <c r="I39" s="22" t="n"/>
      <c r="J39" s="10" t="inlineStr">
        <is>
          <t>4 時間枠判定</t>
        </is>
      </c>
      <c r="K39" s="22" t="n"/>
      <c r="L39" s="10" t="inlineStr">
        <is>
          <t>作業記録</t>
        </is>
      </c>
      <c r="M39" s="22" t="n"/>
    </row>
    <row r="40" ht="58" customHeight="1">
      <c r="D40" s="24" t="inlineStr">
        <is>
          <t>7</t>
        </is>
      </c>
      <c r="E40" s="10" t="inlineStr">
        <is>
          <t>対策</t>
        </is>
      </c>
      <c r="F40" s="10" t="inlineStr">
        <is>
          <t>性能劣化時：統計の再取得、ヒント／SQL 修正、SQL Plan Management（ベースライン固定）、optimizer_features_enable=11.2.0.4（暫定）、gp3 の IOPS／スループット引き上げ、インスタンスクラス変更</t>
        </is>
      </c>
      <c r="G40" s="23" t="n"/>
      <c r="H40" s="23" t="n"/>
      <c r="I40" s="22" t="n"/>
      <c r="J40" s="10" t="inlineStr">
        <is>
          <t>－</t>
        </is>
      </c>
      <c r="K40" s="22" t="n"/>
      <c r="L40" s="10" t="inlineStr">
        <is>
          <t>7 章 リスク No.8</t>
        </is>
      </c>
      <c r="M40" s="22" t="n"/>
    </row>
    <row r="41" ht="6" customHeight="1"/>
    <row r="42" ht="20" customHeight="1">
      <c r="B42" s="19" t="inlineStr">
        <is>
          <t>6.4. アプリケーション接続テスト</t>
        </is>
      </c>
      <c r="C42" s="20" t="n"/>
      <c r="D42" s="20" t="n"/>
      <c r="E42" s="20" t="n"/>
      <c r="F42" s="20" t="n"/>
      <c r="G42" s="20" t="n"/>
      <c r="H42" s="20" t="n"/>
      <c r="I42" s="20" t="n"/>
      <c r="J42" s="20" t="n"/>
      <c r="K42" s="20" t="n"/>
      <c r="L42" s="20" t="n"/>
      <c r="M42" s="20" t="n"/>
    </row>
    <row r="43" ht="16" customHeight="1">
      <c r="D43" s="21" t="inlineStr">
        <is>
          <t>表 6-4　接続テスト項目</t>
        </is>
      </c>
    </row>
    <row r="44" ht="17.5" customHeight="1">
      <c r="D44" s="8" t="inlineStr">
        <is>
          <t>No</t>
        </is>
      </c>
      <c r="E44" s="8" t="inlineStr">
        <is>
          <t>対象</t>
        </is>
      </c>
      <c r="F44" s="22" t="n"/>
      <c r="G44" s="8" t="inlineStr">
        <is>
          <t>テスト内容</t>
        </is>
      </c>
      <c r="H44" s="23" t="n"/>
      <c r="I44" s="23" t="n"/>
      <c r="J44" s="23" t="n"/>
      <c r="K44" s="22" t="n"/>
      <c r="L44" s="8" t="inlineStr">
        <is>
          <t>確認事項</t>
        </is>
      </c>
      <c r="M44" s="22" t="n"/>
    </row>
    <row r="45" ht="44.5" customHeight="1">
      <c r="D45" s="24" t="inlineStr">
        <is>
          <t>1</t>
        </is>
      </c>
      <c r="E45" s="10" t="inlineStr">
        <is>
          <t>Tomcat（AP／API）</t>
        </is>
      </c>
      <c r="F45" s="22" t="n"/>
      <c r="G45" s="10" t="inlineStr">
        <is>
          <t>context.xml の DataSource で RDS に接続し、ログイン・主要業務（参照・登録・更新・削除）・API 呼出しを実施。プールの枯渇・タイムアウト設定（validationQuery=SELECT 1 FROM DUAL）</t>
        </is>
      </c>
      <c r="H45" s="23" t="n"/>
      <c r="I45" s="23" t="n"/>
      <c r="J45" s="23" t="n"/>
      <c r="K45" s="22" t="n"/>
      <c r="L45" s="10" t="inlineStr">
        <is>
          <t>ojdbc8（19c）、SERVICE_NAME 接続、文字化けなし、例外なし</t>
        </is>
      </c>
      <c r="M45" s="22" t="n"/>
    </row>
    <row r="46" ht="31" customHeight="1">
      <c r="D46" s="24" t="inlineStr">
        <is>
          <t>2</t>
        </is>
      </c>
      <c r="E46" s="10" t="inlineStr">
        <is>
          <t>ASTERIA Warp 2406</t>
        </is>
      </c>
      <c r="F46" s="22" t="n"/>
      <c r="G46" s="10" t="inlineStr">
        <is>
          <t>Oracle 接続コンポーネントで RDS に接続し、全フローの単体テスト（現行と同一入力の出力比較）</t>
        </is>
      </c>
      <c r="H46" s="23" t="n"/>
      <c r="I46" s="23" t="n"/>
      <c r="J46" s="23" t="n"/>
      <c r="K46" s="22" t="n"/>
      <c r="L46" s="10" t="inlineStr">
        <is>
          <t>JDBC ドライバ・接続定義、トランザクション</t>
        </is>
      </c>
      <c r="M46" s="22" t="n"/>
    </row>
    <row r="47" ht="31" customHeight="1">
      <c r="D47" s="24" t="inlineStr">
        <is>
          <t>3</t>
        </is>
      </c>
      <c r="E47" s="10" t="inlineStr">
        <is>
          <t>シェル／バッチ・JP1</t>
        </is>
      </c>
      <c r="F47" s="22" t="n"/>
      <c r="G47" s="10" t="inlineStr">
        <is>
          <t>Instant Client の sqlplus／SQL*Loader を用いるスクリプトを RDS 向けに実行。tnsnames.ora・環境変数・ログ出力先</t>
        </is>
      </c>
      <c r="H47" s="23" t="n"/>
      <c r="I47" s="23" t="n"/>
      <c r="J47" s="23" t="n"/>
      <c r="K47" s="22" t="n"/>
      <c r="L47" s="10" t="inlineStr">
        <is>
          <t>終了コード、出力ファイル</t>
        </is>
      </c>
      <c r="M47" s="22" t="n"/>
    </row>
    <row r="48" ht="31" customHeight="1">
      <c r="D48" s="24" t="inlineStr">
        <is>
          <t>4</t>
        </is>
      </c>
      <c r="E48" s="10" t="inlineStr">
        <is>
          <t>Salesforce Data Loader</t>
        </is>
      </c>
      <c r="F48" s="22" t="n"/>
      <c r="G48" s="10" t="inlineStr">
        <is>
          <r>
            <rPr>
              <rFont val="ＭＳ Ｐゴシック"/>
              <color rgb="00000000"/>
              <sz val="10"/>
            </rPr>
            <t>DB 直結の場合は JDBC 接続で抽出・登録テスト。ASTERIA 経由の場合はフローで確認</t>
          </r>
          <r>
            <rPr>
              <rFont val="ＭＳ Ｐゴシック"/>
              <b val="1"/>
              <color rgb="00FF0000"/>
              <sz val="10"/>
            </rPr>
            <t>【要確認】</t>
          </r>
        </is>
      </c>
      <c r="H48" s="23" t="n"/>
      <c r="I48" s="23" t="n"/>
      <c r="J48" s="23" t="n"/>
      <c r="K48" s="22" t="n"/>
      <c r="L48" s="10" t="inlineStr">
        <is>
          <t>接続方式の確定</t>
        </is>
      </c>
      <c r="M48" s="22" t="n"/>
    </row>
    <row r="49" ht="58" customHeight="1">
      <c r="D49" s="24" t="inlineStr">
        <is>
          <t>5</t>
        </is>
      </c>
      <c r="E49" s="10" t="inlineStr">
        <is>
          <t>認証・パスワード</t>
        </is>
      </c>
      <c r="F49" s="22" t="n"/>
      <c r="G49" s="10" t="inlineStr">
        <is>
          <r>
            <rPr>
              <rFont val="ＭＳ Ｐゴシック"/>
              <color rgb="00000000"/>
              <sz val="10"/>
            </rPr>
            <t>11g からのユーザは 19c でパスワード大文字小文字が区別される。パスワードバージョン（DBA_USERS.PASSWORD_VERSIONS）が 11G のみのユーザは allowed_logon_version_server の設定または再設定が必要</t>
          </r>
          <r>
            <rPr>
              <rFont val="ＭＳ Ｐゴシック"/>
              <b val="1"/>
              <color rgb="00FF0000"/>
              <sz val="10"/>
            </rPr>
            <t>【要確認】</t>
          </r>
        </is>
      </c>
      <c r="H49" s="23" t="n"/>
      <c r="I49" s="23" t="n"/>
      <c r="J49" s="23" t="n"/>
      <c r="K49" s="22" t="n"/>
      <c r="L49" s="10" t="inlineStr">
        <is>
          <t>ログイン失敗なし</t>
        </is>
      </c>
      <c r="M49" s="22" t="n"/>
    </row>
    <row r="50" ht="31" customHeight="1">
      <c r="D50" s="24" t="inlineStr">
        <is>
          <t>6</t>
        </is>
      </c>
      <c r="E50" s="10" t="inlineStr">
        <is>
          <t>ドライバ・クライアント互換</t>
        </is>
      </c>
      <c r="F50" s="22" t="n"/>
      <c r="G50" s="10" t="inlineStr">
        <is>
          <t>ojdbc8 19c／Instant Client 19c と 19c の組合せ（推奨）。旧ドライバ（ojdbc6 11g）は接続可能だが使用しない</t>
        </is>
      </c>
      <c r="H50" s="23" t="n"/>
      <c r="I50" s="23" t="n"/>
      <c r="J50" s="23" t="n"/>
      <c r="K50" s="22" t="n"/>
      <c r="L50" s="10" t="inlineStr">
        <is>
          <t>推奨組合せ</t>
        </is>
      </c>
      <c r="M50" s="22" t="n"/>
    </row>
    <row r="51" ht="17.5" customHeight="1">
      <c r="D51" s="24" t="inlineStr">
        <is>
          <t>7</t>
        </is>
      </c>
      <c r="E51" s="10" t="inlineStr">
        <is>
          <t>HULFT</t>
        </is>
      </c>
      <c r="F51" s="22" t="n"/>
      <c r="G51" s="10" t="inlineStr">
        <is>
          <t>DB 接続はないため、ファイル連携（集信・配信）の疎通のみ確認</t>
        </is>
      </c>
      <c r="H51" s="23" t="n"/>
      <c r="I51" s="23" t="n"/>
      <c r="J51" s="23" t="n"/>
      <c r="K51" s="22" t="n"/>
      <c r="L51" s="10" t="inlineStr">
        <is>
          <t>疎通</t>
        </is>
      </c>
      <c r="M51" s="22" t="n"/>
    </row>
    <row r="52" ht="31" customHeight="1">
      <c r="D52" s="24" t="inlineStr">
        <is>
          <t>8</t>
        </is>
      </c>
      <c r="E52" s="10" t="inlineStr">
        <is>
          <t>ネットワーク</t>
        </is>
      </c>
      <c r="F52" s="22" t="n"/>
      <c r="G52" s="10" t="inlineStr">
        <is>
          <t>AP/API サーバ・Data Loader サーバから RDS への TCP 1521 疎通、DNS 解決（RDS エンドポイント）、SG の設定</t>
        </is>
      </c>
      <c r="H52" s="23" t="n"/>
      <c r="I52" s="23" t="n"/>
      <c r="J52" s="23" t="n"/>
      <c r="K52" s="22" t="n"/>
      <c r="L52" s="10" t="inlineStr">
        <is>
          <t>疎通</t>
        </is>
      </c>
      <c r="M52" s="22" t="n"/>
    </row>
    <row r="53" ht="6" customHeight="1"/>
    <row r="54" ht="20" customHeight="1">
      <c r="B54" s="19" t="inlineStr">
        <is>
          <t>6.5. 運用テスト</t>
        </is>
      </c>
      <c r="C54" s="20" t="n"/>
      <c r="D54" s="20" t="n"/>
      <c r="E54" s="20" t="n"/>
      <c r="F54" s="20" t="n"/>
      <c r="G54" s="20" t="n"/>
      <c r="H54" s="20" t="n"/>
      <c r="I54" s="20" t="n"/>
      <c r="J54" s="20" t="n"/>
      <c r="K54" s="20" t="n"/>
      <c r="L54" s="20" t="n"/>
      <c r="M54" s="20" t="n"/>
    </row>
    <row r="55" ht="17.5" customHeight="1">
      <c r="D55" s="8" t="inlineStr">
        <is>
          <t>No</t>
        </is>
      </c>
      <c r="E55" s="8" t="inlineStr">
        <is>
          <t>項目</t>
        </is>
      </c>
      <c r="F55" s="22" t="n"/>
      <c r="G55" s="8" t="inlineStr">
        <is>
          <t>内容</t>
        </is>
      </c>
      <c r="H55" s="23" t="n"/>
      <c r="I55" s="23" t="n"/>
      <c r="J55" s="23" t="n"/>
      <c r="K55" s="22" t="n"/>
      <c r="L55" s="8" t="inlineStr">
        <is>
          <t>判定</t>
        </is>
      </c>
      <c r="M55" s="22" t="n"/>
    </row>
    <row r="56" ht="31" customHeight="1">
      <c r="D56" s="24" t="inlineStr">
        <is>
          <t>1</t>
        </is>
      </c>
      <c r="E56" s="10" t="inlineStr">
        <is>
          <t>バックアップ・リストア</t>
        </is>
      </c>
      <c r="F56" s="22" t="n"/>
      <c r="G56" s="10" t="inlineStr">
        <is>
          <t>手動スナップショット取得、スナップショットからの復元（別識別子）、ポイントインタイムリカバリ、日次 Data Pump→S3（upload_to_s3）の動作</t>
        </is>
      </c>
      <c r="H56" s="23" t="n"/>
      <c r="I56" s="23" t="n"/>
      <c r="J56" s="23" t="n"/>
      <c r="K56" s="22" t="n"/>
      <c r="L56" s="10" t="inlineStr">
        <is>
          <t>復元した DB に接続・データ確認できる</t>
        </is>
      </c>
      <c r="M56" s="22" t="n"/>
    </row>
    <row r="57" ht="31" customHeight="1">
      <c r="D57" s="24" t="inlineStr">
        <is>
          <t>2</t>
        </is>
      </c>
      <c r="E57" s="10" t="inlineStr">
        <is>
          <t>監視・アラート</t>
        </is>
      </c>
      <c r="F57" s="22" t="n"/>
      <c r="G57" s="10" t="inlineStr">
        <is>
          <r>
            <rPr>
              <rFont val="ＭＳ Ｐゴシック"/>
              <color rgb="00000000"/>
              <sz val="10"/>
            </rPr>
            <t>CloudWatch アラーム（9 章）の発報テスト、イベントサブスクリプション、Tivoli 連携</t>
          </r>
          <r>
            <rPr>
              <rFont val="ＭＳ Ｐゴシック"/>
              <b val="1"/>
              <color rgb="00FF0000"/>
              <sz val="10"/>
            </rPr>
            <t>【要確認】</t>
          </r>
        </is>
      </c>
      <c r="H57" s="23" t="n"/>
      <c r="I57" s="23" t="n"/>
      <c r="J57" s="23" t="n"/>
      <c r="K57" s="22" t="n"/>
      <c r="L57" s="10" t="inlineStr">
        <is>
          <t>通知が届く</t>
        </is>
      </c>
      <c r="M57" s="22" t="n"/>
    </row>
    <row r="58" ht="17.5" customHeight="1">
      <c r="D58" s="24" t="inlineStr">
        <is>
          <t>3</t>
        </is>
      </c>
      <c r="E58" s="10" t="inlineStr">
        <is>
          <t>ジョブ運用</t>
        </is>
      </c>
      <c r="F58" s="22" t="n"/>
      <c r="G58" s="10" t="inlineStr">
        <is>
          <t>JP1 からの DB ジョブ（バックアップ・統計・業務バッチ）の登録・実行</t>
        </is>
      </c>
      <c r="H58" s="23" t="n"/>
      <c r="I58" s="23" t="n"/>
      <c r="J58" s="23" t="n"/>
      <c r="K58" s="22" t="n"/>
      <c r="L58" s="10" t="inlineStr">
        <is>
          <t>実行成功</t>
        </is>
      </c>
      <c r="M58" s="22" t="n"/>
    </row>
    <row r="59" ht="31" customHeight="1">
      <c r="D59" s="24" t="inlineStr">
        <is>
          <t>4</t>
        </is>
      </c>
      <c r="E59" s="10" t="inlineStr">
        <is>
          <t>ログ</t>
        </is>
      </c>
      <c r="F59" s="22" t="n"/>
      <c r="G59" s="10" t="inlineStr">
        <is>
          <t>アラートログ・リスナーログの CloudWatch Logs 出力、アプリログの保管</t>
        </is>
      </c>
      <c r="H59" s="23" t="n"/>
      <c r="I59" s="23" t="n"/>
      <c r="J59" s="23" t="n"/>
      <c r="K59" s="22" t="n"/>
      <c r="L59" s="10" t="inlineStr">
        <is>
          <t>参照可能</t>
        </is>
      </c>
      <c r="M59" s="22" t="n"/>
    </row>
    <row r="60" ht="31" customHeight="1">
      <c r="D60" s="24" t="inlineStr">
        <is>
          <t>5</t>
        </is>
      </c>
      <c r="E60" s="10" t="inlineStr">
        <is>
          <t>メンテナンス</t>
        </is>
      </c>
      <c r="F60" s="22" t="n"/>
      <c r="G60" s="10" t="inlineStr">
        <is>
          <t>RDS メンテナンスウィンドウ・バックアップウィンドウが計画保守時間（日曜）と整合</t>
        </is>
      </c>
      <c r="H60" s="23" t="n"/>
      <c r="I60" s="23" t="n"/>
      <c r="J60" s="23" t="n"/>
      <c r="K60" s="22" t="n"/>
      <c r="L60" s="10" t="inlineStr">
        <is>
          <t>設定確認</t>
        </is>
      </c>
      <c r="M60" s="22" t="n"/>
    </row>
    <row r="61" ht="31" customHeight="1">
      <c r="D61" s="24" t="inlineStr">
        <is>
          <t>6</t>
        </is>
      </c>
      <c r="E61" s="10" t="inlineStr">
        <is>
          <t>運用手順書</t>
        </is>
      </c>
      <c r="F61" s="22" t="n"/>
      <c r="G61" s="10" t="inlineStr">
        <is>
          <t>起動停止（RDS は stop 7 日制限）、パラメータ変更、スナップショット運用、障害時連絡</t>
        </is>
      </c>
      <c r="H61" s="23" t="n"/>
      <c r="I61" s="23" t="n"/>
      <c r="J61" s="23" t="n"/>
      <c r="K61" s="22" t="n"/>
      <c r="L61" s="10" t="inlineStr">
        <is>
          <t>更新済み</t>
        </is>
      </c>
      <c r="M61" s="22" t="n"/>
    </row>
    <row r="62" ht="6" customHeight="1"/>
    <row r="63" ht="20" customHeight="1">
      <c r="B63" s="19" t="inlineStr">
        <is>
          <t>6.6. 検証結果の記録</t>
        </is>
      </c>
      <c r="C63" s="20" t="n"/>
      <c r="D63" s="20" t="n"/>
      <c r="E63" s="20" t="n"/>
      <c r="F63" s="20" t="n"/>
      <c r="G63" s="20" t="n"/>
      <c r="H63" s="20" t="n"/>
      <c r="I63" s="20" t="n"/>
      <c r="J63" s="20" t="n"/>
      <c r="K63" s="20" t="n"/>
      <c r="L63" s="20" t="n"/>
      <c r="M63" s="20" t="n"/>
    </row>
    <row r="64" ht="17.5" customHeight="1">
      <c r="D64" s="7" t="inlineStr">
        <is>
          <t>・検証結果は「検証結果報告書」に記録し、Go/No-Go 判定会議（5.3 No.9）の入力とする。</t>
        </is>
      </c>
    </row>
    <row r="65" ht="17.5" customHeight="1">
      <c r="D65" s="7" t="inlineStr">
        <is>
          <t>・記録項目：検証項目、実施日時、実施者、対象環境、結果（OK／NG）、証跡（SQL 出力・ログ・スクリーンショット）、NG 時の対処と再検証結果。</t>
        </is>
      </c>
    </row>
    <row r="66" ht="17.5" customHeight="1">
      <c r="D66" s="7" t="inlineStr">
        <is>
          <t>・件数・ハッシュ・オブジェクト数の突合は CSV 出力を Excel で突合し、突合結果シートを証跡として保管する。</t>
        </is>
      </c>
    </row>
  </sheetData>
  <mergeCells count="144">
    <mergeCell ref="L17:M17"/>
    <mergeCell ref="G59:K59"/>
    <mergeCell ref="B42:M42"/>
    <mergeCell ref="F8:H8"/>
    <mergeCell ref="E23:F23"/>
    <mergeCell ref="L19:M19"/>
    <mergeCell ref="L28:M28"/>
    <mergeCell ref="G61:K61"/>
    <mergeCell ref="G48:K48"/>
    <mergeCell ref="D6:E6"/>
    <mergeCell ref="E51:F51"/>
    <mergeCell ref="F9:H9"/>
    <mergeCell ref="L39:M39"/>
    <mergeCell ref="L14:M14"/>
    <mergeCell ref="B30:M30"/>
    <mergeCell ref="L45:M45"/>
    <mergeCell ref="D7:E7"/>
    <mergeCell ref="L38:M38"/>
    <mergeCell ref="E49:F49"/>
    <mergeCell ref="E27:F27"/>
    <mergeCell ref="L40:M40"/>
    <mergeCell ref="B54:M54"/>
    <mergeCell ref="G18:J18"/>
    <mergeCell ref="L21:M21"/>
    <mergeCell ref="G50:K50"/>
    <mergeCell ref="E22:F22"/>
    <mergeCell ref="F7:H7"/>
    <mergeCell ref="G60:K60"/>
    <mergeCell ref="G52:K52"/>
    <mergeCell ref="D10:E10"/>
    <mergeCell ref="E55:F55"/>
    <mergeCell ref="L16:M16"/>
    <mergeCell ref="G20:J20"/>
    <mergeCell ref="F37:I37"/>
    <mergeCell ref="E14:F14"/>
    <mergeCell ref="L57:M57"/>
    <mergeCell ref="E48:F48"/>
    <mergeCell ref="G22:J22"/>
    <mergeCell ref="J34:K34"/>
    <mergeCell ref="I6:L6"/>
    <mergeCell ref="G21:J21"/>
    <mergeCell ref="F34:I34"/>
    <mergeCell ref="J36:K36"/>
    <mergeCell ref="D31:M31"/>
    <mergeCell ref="G23:J23"/>
    <mergeCell ref="L20:M20"/>
    <mergeCell ref="I7:L7"/>
    <mergeCell ref="E26:F26"/>
    <mergeCell ref="D9:E9"/>
    <mergeCell ref="F33:I33"/>
    <mergeCell ref="L22:M22"/>
    <mergeCell ref="L44:M44"/>
    <mergeCell ref="G55:K55"/>
    <mergeCell ref="E16:F16"/>
    <mergeCell ref="G51:K51"/>
    <mergeCell ref="L59:M59"/>
    <mergeCell ref="E25:F25"/>
    <mergeCell ref="L46:M46"/>
    <mergeCell ref="G24:J24"/>
    <mergeCell ref="E18:F18"/>
    <mergeCell ref="E58:F58"/>
    <mergeCell ref="L61:M61"/>
    <mergeCell ref="L48:M48"/>
    <mergeCell ref="E50:F50"/>
    <mergeCell ref="G56:K56"/>
    <mergeCell ref="G26:J26"/>
    <mergeCell ref="J38:K38"/>
    <mergeCell ref="F39:I39"/>
    <mergeCell ref="G16:J16"/>
    <mergeCell ref="E52:F52"/>
    <mergeCell ref="I10:L10"/>
    <mergeCell ref="G25:J25"/>
    <mergeCell ref="L47:M47"/>
    <mergeCell ref="J40:K40"/>
    <mergeCell ref="E44:F44"/>
    <mergeCell ref="E20:F20"/>
    <mergeCell ref="I9:L9"/>
    <mergeCell ref="L24:M24"/>
    <mergeCell ref="L18:M18"/>
    <mergeCell ref="L33:M33"/>
    <mergeCell ref="L26:M26"/>
    <mergeCell ref="J35:K35"/>
    <mergeCell ref="E59:F59"/>
    <mergeCell ref="L35:M35"/>
    <mergeCell ref="E15:F15"/>
    <mergeCell ref="E46:F46"/>
    <mergeCell ref="L58:M58"/>
    <mergeCell ref="B63:M63"/>
    <mergeCell ref="G58:K58"/>
    <mergeCell ref="L50:M50"/>
    <mergeCell ref="L25:M25"/>
    <mergeCell ref="E61:F61"/>
    <mergeCell ref="G45:K45"/>
    <mergeCell ref="L60:M60"/>
    <mergeCell ref="F36:I36"/>
    <mergeCell ref="E57:F57"/>
    <mergeCell ref="F6:H6"/>
    <mergeCell ref="L52:M52"/>
    <mergeCell ref="G47:K47"/>
    <mergeCell ref="G44:K44"/>
    <mergeCell ref="G15:J15"/>
    <mergeCell ref="G46:K46"/>
    <mergeCell ref="E56:F56"/>
    <mergeCell ref="B12:M12"/>
    <mergeCell ref="J39:K39"/>
    <mergeCell ref="D4:M4"/>
    <mergeCell ref="I8:L8"/>
    <mergeCell ref="E24:F24"/>
    <mergeCell ref="J37:K37"/>
    <mergeCell ref="L37:M37"/>
    <mergeCell ref="B1:M1"/>
    <mergeCell ref="E17:F17"/>
    <mergeCell ref="D64:M64"/>
    <mergeCell ref="E19:F19"/>
    <mergeCell ref="L15:M15"/>
    <mergeCell ref="E28:F28"/>
    <mergeCell ref="G57:K57"/>
    <mergeCell ref="L23:M23"/>
    <mergeCell ref="E60:F60"/>
    <mergeCell ref="G27:J27"/>
    <mergeCell ref="G49:K49"/>
    <mergeCell ref="L55:M55"/>
    <mergeCell ref="F40:I40"/>
    <mergeCell ref="G17:J17"/>
    <mergeCell ref="L51:M51"/>
    <mergeCell ref="D65:M65"/>
    <mergeCell ref="E45:F45"/>
    <mergeCell ref="G19:J19"/>
    <mergeCell ref="G28:J28"/>
    <mergeCell ref="D8:E8"/>
    <mergeCell ref="F10:H10"/>
    <mergeCell ref="L56:M56"/>
    <mergeCell ref="L34:M34"/>
    <mergeCell ref="B3:M3"/>
    <mergeCell ref="F35:I35"/>
    <mergeCell ref="D66:M66"/>
    <mergeCell ref="J33:K33"/>
    <mergeCell ref="F38:I38"/>
    <mergeCell ref="L27:M27"/>
    <mergeCell ref="L49:M49"/>
    <mergeCell ref="L36:M36"/>
    <mergeCell ref="E47:F47"/>
    <mergeCell ref="E21:F21"/>
    <mergeCell ref="G14:J14"/>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B1:M25"/>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7. リスクと対応策</t>
        </is>
      </c>
    </row>
    <row r="2" ht="4" customHeight="1"/>
    <row r="3" ht="17.5" customHeight="1">
      <c r="D3" s="7" t="inlineStr">
        <is>
          <t>移行に伴うリスクを洗い出し、予防策と発生時の対応を定める。発生可能性・影響度は高／中／低の 3 段階。リハーサル結果により見直す。</t>
        </is>
      </c>
    </row>
    <row r="4" ht="16" customHeight="1">
      <c r="D4" s="21" t="inlineStr">
        <is>
          <t>表 7-1　リスク一覧</t>
        </is>
      </c>
    </row>
    <row r="5" ht="17.5" customHeight="1">
      <c r="D5" s="26" t="inlineStr">
        <is>
          <t>No</t>
        </is>
      </c>
      <c r="E5" s="26" t="inlineStr">
        <is>
          <t>リスク（影響）</t>
        </is>
      </c>
      <c r="F5" s="22" t="n"/>
      <c r="G5" s="26" t="inlineStr">
        <is>
          <t>発生局面</t>
        </is>
      </c>
      <c r="H5" s="26" t="inlineStr">
        <is>
          <t>可能性</t>
        </is>
      </c>
      <c r="I5" s="26" t="inlineStr">
        <is>
          <t>影響度</t>
        </is>
      </c>
      <c r="J5" s="26" t="inlineStr">
        <is>
          <t>予防策</t>
        </is>
      </c>
      <c r="K5" s="22" t="n"/>
      <c r="L5" s="26" t="inlineStr">
        <is>
          <t>発生時の対応</t>
        </is>
      </c>
      <c r="M5" s="22" t="n"/>
    </row>
    <row r="6" ht="79" customHeight="1">
      <c r="D6" s="27" t="inlineStr">
        <is>
          <t>1</t>
        </is>
      </c>
      <c r="E6" s="28" t="inlineStr">
        <is>
          <t>データ欠落・不整合（差分漏れ：updatedate が更新されない経路、物理削除の反映漏れ、方式判定の誤り）
（影響：切替後の業務データ不整合）</t>
        </is>
      </c>
      <c r="F6" s="22" t="n"/>
      <c r="G6" s="28" t="inlineStr">
        <is>
          <t>差分移行</t>
        </is>
      </c>
      <c r="H6" s="27" t="inlineStr">
        <is>
          <t>中</t>
        </is>
      </c>
      <c r="I6" s="27" t="inlineStr">
        <is>
          <t>高</t>
        </is>
      </c>
      <c r="J6" s="28" t="inlineStr">
        <is>
          <t>判定は安全側（不確実は方式B）。方式A は更新経路の調査と業務主管確認を必須化。切替時の件数・ハッシュ照合（全表件数、主要表ハッシュ）。方式C は ORA_ROWSCN で無変更を確認</t>
        </is>
      </c>
      <c r="K6" s="22" t="n"/>
      <c r="L6" s="28" t="inlineStr">
        <is>
          <t>不一致表を方式B で再投入（停止時間内）。切替後に判明した場合は現行（停止保持中）の該当表を抽出して修正</t>
        </is>
      </c>
      <c r="M6" s="22" t="n"/>
    </row>
    <row r="7" ht="54" customHeight="1">
      <c r="D7" s="27" t="inlineStr">
        <is>
          <t>2</t>
        </is>
      </c>
      <c r="E7" s="28" t="inlineStr">
        <is>
          <t>ORA-01555（スナップショットが古すぎる）で全量エクスポートが失敗
（影響：エクスポートやり直し）</t>
        </is>
      </c>
      <c r="F7" s="22" t="n"/>
      <c r="G7" s="28" t="inlineStr">
        <is>
          <t>初期全量</t>
        </is>
      </c>
      <c r="H7" s="27" t="inlineStr">
        <is>
          <t>中</t>
        </is>
      </c>
      <c r="I7" s="27" t="inlineStr">
        <is>
          <t>中</t>
        </is>
      </c>
      <c r="J7" s="28" t="inlineStr">
        <is>
          <t>undo_retention・UNDO 表領域の拡張、業務負荷の低い週末に実施、バッチ分割で 1 ジョブの時間を短縮、大表を先に実行</t>
        </is>
      </c>
      <c r="K7" s="22" t="n"/>
      <c r="L7" s="28" t="inlineStr">
        <is>
          <t>失敗バッチのみ同一 S0 で再実行（UNDO が残っている間）。再実行不可なら S0 を取り直して全バッチ再実行（業務停止不要）</t>
        </is>
      </c>
      <c r="M7" s="22" t="n"/>
    </row>
    <row r="8" ht="91.5" customHeight="1">
      <c r="D8" s="27" t="inlineStr">
        <is>
          <t>3</t>
        </is>
      </c>
      <c r="E8" s="28" t="inlineStr">
        <is>
          <t>切替の業務停止時間（4 時間）を超過
（影響：サービス開始遅延）</t>
        </is>
      </c>
      <c r="F8" s="22" t="n"/>
      <c r="G8" s="28" t="inlineStr">
        <is>
          <t>本番切替</t>
        </is>
      </c>
      <c r="H8" s="27" t="inlineStr">
        <is>
          <t>中</t>
        </is>
      </c>
      <c r="I8" s="27" t="inlineStr">
        <is>
          <t>高</t>
        </is>
      </c>
      <c r="J8" s="28" t="inlineStr">
        <is>
          <t>リハーサルでの実測と安全率（3 時間以内）、方式B 表の容量削減（方式C 拡大・変更ログトリガー・DMS CDC）、並列度の最適化、停止前にできる作業（復元・ステージング表作成）を前日に実施、T+3:00 の判断ポイント</t>
        </is>
      </c>
      <c r="K8" s="22" t="n"/>
      <c r="L8" s="28" t="inlineStr">
        <is>
          <t>切戻し（5.10）。現行 DB は無変更のため即時再開可能。原因分析後に再計画</t>
        </is>
      </c>
      <c r="M8" s="22" t="n"/>
    </row>
    <row r="9" ht="79" customHeight="1">
      <c r="D9" s="27" t="inlineStr">
        <is>
          <t>4</t>
        </is>
      </c>
      <c r="E9" s="28" t="inlineStr">
        <is>
          <t>転送失敗・ネットワーク中断（VPC Peering、ssh、S3）
（影響：再転送による遅延）</t>
        </is>
      </c>
      <c r="F9" s="22" t="n"/>
      <c r="G9" s="28" t="inlineStr">
        <is>
          <t>転送</t>
        </is>
      </c>
      <c r="H9" s="27" t="inlineStr">
        <is>
          <t>低</t>
        </is>
      </c>
      <c r="I9" s="27" t="inlineStr">
        <is>
          <t>中</t>
        </is>
      </c>
      <c r="J9" s="28" t="inlineStr">
        <is>
          <t>rsync の再開機能（--partial --append-verify）、aws s3 cp のマルチパート再実行、チェックサム照合、S3 Gateway エンドポイント使用、事前の疎通・スループット試験</t>
        </is>
      </c>
      <c r="K9" s="22" t="n"/>
      <c r="L9" s="28" t="inlineStr">
        <is>
          <t>中断箇所から再実行。差分移行時は残り時間を考慮し T+3:00 判断</t>
        </is>
      </c>
      <c r="M9" s="22" t="n"/>
    </row>
    <row r="10" ht="54" customHeight="1">
      <c r="D10" s="27" t="inlineStr">
        <is>
          <t>5</t>
        </is>
      </c>
      <c r="E10" s="28" t="inlineStr">
        <is>
          <t>RDS ストレージ不足（DATA_PUMP_DIR のダンプで空き枯渇）
（影響：取込停止、ストレージ拡張（縮小不可））</t>
        </is>
      </c>
      <c r="F10" s="22" t="n"/>
      <c r="G10" s="28" t="inlineStr">
        <is>
          <t>取込</t>
        </is>
      </c>
      <c r="H10" s="27" t="inlineStr">
        <is>
          <t>中</t>
        </is>
      </c>
      <c r="I10" s="27" t="inlineStr">
        <is>
          <t>中</t>
        </is>
      </c>
      <c r="J10" s="28" t="inlineStr">
        <is>
          <t>分割取込（バッチ ≦ 300GB）、取込後即削除、FreeStorageSpace アラーム、ストレージ自動スケーリング（上限設定）</t>
        </is>
      </c>
      <c r="K10" s="22" t="n"/>
      <c r="L10" s="28" t="inlineStr">
        <is>
          <t>ダンプ削除で回復。不足が続く場合はストレージ拡張（拡張中も稼働可）</t>
        </is>
      </c>
      <c r="M10" s="22" t="n"/>
    </row>
    <row r="11" ht="66.5" customHeight="1">
      <c r="D11" s="27" t="inlineStr">
        <is>
          <t>6</t>
        </is>
      </c>
      <c r="E11" s="28" t="inlineStr">
        <is>
          <t>Data Pump インポートエラー（ORA-39xxx：既存オブジェクト、権限不足、SYS 所有、非対応オブジェクト、RDS 制約）
（影響：オブジェクト欠落）</t>
        </is>
      </c>
      <c r="F11" s="22" t="n"/>
      <c r="G11" s="28" t="inlineStr">
        <is>
          <t>取込</t>
        </is>
      </c>
      <c r="H11" s="27" t="inlineStr">
        <is>
          <t>中</t>
        </is>
      </c>
      <c r="I11" s="27" t="inlineStr">
        <is>
          <t>中</t>
        </is>
      </c>
      <c r="J11" s="28" t="inlineStr">
        <is>
          <t>事前調査で対象外オブジェクトを洗い出し、リハーサルで全エラーを解消。ログの ORA- 検索を手順化。ORA-31684 等の想定内エラーを一覧化</t>
        </is>
      </c>
      <c r="K11" s="22" t="n"/>
      <c r="L11" s="28" t="inlineStr">
        <is>
          <t>対象を除外して再実行し、手動作成。無効オブジェクトは再コンパイル</t>
        </is>
      </c>
      <c r="M11" s="22" t="n"/>
    </row>
    <row r="12" ht="91.5" customHeight="1">
      <c r="D12" s="27" t="inlineStr">
        <is>
          <t>7</t>
        </is>
      </c>
      <c r="E12" s="28" t="inlineStr">
        <is>
          <t>11g→19c 非互換（廃止機能 WM_CONCAT 等、予約語、オプティマイザ挙動、パスワード大文字小文字、タイムゾーンファイル版数、非推奨パラメータ）
（影響：アプリエラー・結果差異）</t>
        </is>
      </c>
      <c r="F12" s="22" t="n"/>
      <c r="G12" s="28" t="inlineStr">
        <is>
          <t>検証期間</t>
        </is>
      </c>
      <c r="H12" s="27" t="inlineStr">
        <is>
          <t>中</t>
        </is>
      </c>
      <c r="I12" s="27" t="inlineStr">
        <is>
          <t>高</t>
        </is>
      </c>
      <c r="J12" s="28" t="inlineStr">
        <is>
          <t>事前調査 No.16 の静的チェック、検証期間中の全業務テスト、19c のリリースノート確認</t>
        </is>
      </c>
      <c r="K12" s="22" t="n"/>
      <c r="L12" s="28" t="inlineStr">
        <is>
          <t>SQL／PL/SQL 修正、optimizer_features_enable の暫定設定、SPM</t>
        </is>
      </c>
      <c r="M12" s="22" t="n"/>
    </row>
    <row r="13" ht="54" customHeight="1">
      <c r="D13" s="27" t="inlineStr">
        <is>
          <t>8</t>
        </is>
      </c>
      <c r="E13" s="28" t="inlineStr">
        <is>
          <t>性能劣化（実行計画変化、gp3 IOPS 上限、インスタンスサイジング、ネットワーク遅延）
（影響：応答遅延・バッチ遅延）</t>
        </is>
      </c>
      <c r="F13" s="22" t="n"/>
      <c r="G13" s="28" t="inlineStr">
        <is>
          <t>検証期間／切替後</t>
        </is>
      </c>
      <c r="H13" s="27" t="inlineStr">
        <is>
          <t>中</t>
        </is>
      </c>
      <c r="I13" s="27" t="inlineStr">
        <is>
          <t>高</t>
        </is>
      </c>
      <c r="J13" s="28" t="inlineStr">
        <is>
          <t>統計取得、主要 SQL の実行計画比較、負荷試験、Performance Insights、gp3 の IOPS／スループット設定、必要なら上位クラス</t>
        </is>
      </c>
      <c r="K13" s="22" t="n"/>
      <c r="L13" s="28" t="inlineStr">
        <is>
          <t>ヒント・SPM・IOPS 引き上げ・クラス変更（再起動を伴う）</t>
        </is>
      </c>
      <c r="M13" s="22" t="n"/>
    </row>
    <row r="14" ht="66.5" customHeight="1">
      <c r="D14" s="27" t="inlineStr">
        <is>
          <t>9</t>
        </is>
      </c>
      <c r="E14" s="28" t="inlineStr">
        <is>
          <t>RDS の制約（SYSDBA 不可、OS ファイル不可、UTL_FILE のディレクトリ制限、Java／外部プロシージャ、DB リンクの到達性）
（影響：機能が動作しない）</t>
        </is>
      </c>
      <c r="F14" s="22" t="n"/>
      <c r="G14" s="28" t="inlineStr">
        <is>
          <t>設計／取込</t>
        </is>
      </c>
      <c r="H14" s="27" t="inlineStr">
        <is>
          <t>中</t>
        </is>
      </c>
      <c r="I14" s="27" t="inlineStr">
        <is>
          <t>中</t>
        </is>
      </c>
      <c r="J14" s="28" t="inlineStr">
        <is>
          <t>事前調査 No.9・11 で該当機能を洗い出し、代替設計（S3 経由・新サーバ側処理・rdsadmin パッケージ）を検証期間前に確定</t>
        </is>
      </c>
      <c r="K14" s="22" t="n"/>
      <c r="L14" s="28" t="inlineStr">
        <is>
          <t>代替方式へ切替、切替日程の見直し</t>
        </is>
      </c>
      <c r="M14" s="22" t="n"/>
    </row>
    <row r="15" ht="54" customHeight="1">
      <c r="D15" s="27" t="inlineStr">
        <is>
          <t>10</t>
        </is>
      </c>
      <c r="E15" s="28" t="inlineStr">
        <is>
          <t>タイムゾーン不一致（RDS 既定 UTC のまま作成）
（影響：SYSDATE のずれによる業務データ誤り）</t>
        </is>
      </c>
      <c r="F15" s="22" t="n"/>
      <c r="G15" s="28" t="inlineStr">
        <is>
          <t>RDS 作成</t>
        </is>
      </c>
      <c r="H15" s="27" t="inlineStr">
        <is>
          <t>低</t>
        </is>
      </c>
      <c r="I15" s="27" t="inlineStr">
        <is>
          <t>高</t>
        </is>
      </c>
      <c r="J15" s="28" t="inlineStr">
        <is>
          <t>オプショングループ Timezone=Asia/Tokyo を作成時に設定、6.2 No.9 で確認</t>
        </is>
      </c>
      <c r="K15" s="22" t="n"/>
      <c r="L15" s="28" t="inlineStr">
        <is>
          <t>インスタンス再作成級の変更となるため、検証期間前に必ず確認</t>
        </is>
      </c>
      <c r="M15" s="22" t="n"/>
    </row>
    <row r="16" ht="54" customHeight="1">
      <c r="D16" s="27" t="inlineStr">
        <is>
          <t>11</t>
        </is>
      </c>
      <c r="E16" s="28" t="inlineStr">
        <is>
          <t>現行サーバへの負荷（expdp・rsync による I/O・CPU）で本番業務に影響
（影響：現行の応答遅延）</t>
        </is>
      </c>
      <c r="F16" s="22" t="n"/>
      <c r="G16" s="28" t="inlineStr">
        <is>
          <t>初期全量</t>
        </is>
      </c>
      <c r="H16" s="27" t="inlineStr">
        <is>
          <t>中</t>
        </is>
      </c>
      <c r="I16" s="27" t="inlineStr">
        <is>
          <t>中</t>
        </is>
      </c>
      <c r="J16" s="28" t="inlineStr">
        <is>
          <t>週末実施、PARALLEL・rsync 帯域（--bwlimit）の調整、一時 EBS（gp3）で I/O を分離、監視</t>
        </is>
      </c>
      <c r="K16" s="22" t="n"/>
      <c r="L16" s="28" t="inlineStr">
        <is>
          <t>PARALLEL を下げる／一時停止（expdp STOP_JOB → START_JOB）</t>
        </is>
      </c>
      <c r="M16" s="22" t="n"/>
    </row>
    <row r="17" ht="54" customHeight="1">
      <c r="D17" s="27" t="inlineStr">
        <is>
          <t>12</t>
        </is>
      </c>
      <c r="E17" s="28" t="inlineStr">
        <is>
          <t>ssh／rsync の暗号方式非互換（RHEL 5.4 の旧 OpenSSH と RHEL 9 の既定ポリシー）
（影響：転送不可）</t>
        </is>
      </c>
      <c r="F17" s="22" t="n"/>
      <c r="G17" s="28" t="inlineStr">
        <is>
          <t>転送</t>
        </is>
      </c>
      <c r="H17" s="27" t="inlineStr">
        <is>
          <t>中</t>
        </is>
      </c>
      <c r="I17" s="27" t="inlineStr">
        <is>
          <t>中</t>
        </is>
      </c>
      <c r="J17" s="28" t="inlineStr">
        <is>
          <t>RHEL 9 側の LEGACY ポリシー（一時）または ssh オプション、事前接続テスト</t>
        </is>
      </c>
      <c r="K17" s="22" t="n"/>
      <c r="L17" s="28" t="inlineStr">
        <is>
          <t>代替経路（現行側から push、または一時的な中継 EC2）</t>
        </is>
      </c>
      <c r="M17" s="22" t="n"/>
    </row>
    <row r="18" ht="54" customHeight="1">
      <c r="D18" s="27" t="inlineStr">
        <is>
          <t>13</t>
        </is>
      </c>
      <c r="E18" s="28" t="inlineStr">
        <is>
          <t>現行 EC2 への一時 EBS 追加に伴う障害（旧カーネル・デバイス認識・ext3 制限）
（影響：準備遅延）</t>
        </is>
      </c>
      <c r="F18" s="22" t="n"/>
      <c r="G18" s="28" t="inlineStr">
        <is>
          <t>事前準備</t>
        </is>
      </c>
      <c r="H18" s="27" t="inlineStr">
        <is>
          <t>低</t>
        </is>
      </c>
      <c r="I18" s="27" t="inlineStr">
        <is>
          <t>中</t>
        </is>
      </c>
      <c r="J18" s="28" t="inlineStr">
        <is>
          <t>事前テスト、FILESIZE=20G、空き容量監視</t>
        </is>
      </c>
      <c r="K18" s="22" t="n"/>
      <c r="L18" s="28" t="inlineStr">
        <is>
          <t>別ボリューム再作成、分割エクスポート</t>
        </is>
      </c>
      <c r="M18" s="22" t="n"/>
    </row>
    <row r="19" ht="41.5" customHeight="1">
      <c r="D19" s="27" t="inlineStr">
        <is>
          <t>14</t>
        </is>
      </c>
      <c r="E19" s="28" t="inlineStr">
        <is>
          <t>検証データの混入（検証期間中の更新が本番データに残る）
（影響：データ汚染）</t>
        </is>
      </c>
      <c r="F19" s="22" t="n"/>
      <c r="G19" s="28" t="inlineStr">
        <is>
          <t>差分移行</t>
        </is>
      </c>
      <c r="H19" s="27" t="inlineStr">
        <is>
          <t>低</t>
        </is>
      </c>
      <c r="I19" s="27" t="inlineStr">
        <is>
          <t>高</t>
        </is>
      </c>
      <c r="J19" s="28" t="inlineStr">
        <is>
          <t>基点スナップショットからの復元を必須化（5.3）、復元後の件数確認</t>
        </is>
      </c>
      <c r="K19" s="22" t="n"/>
      <c r="L19" s="28" t="inlineStr">
        <is>
          <t>再復元</t>
        </is>
      </c>
      <c r="M19" s="22" t="n"/>
    </row>
    <row r="20" ht="41.5" customHeight="1">
      <c r="D20" s="27" t="inlineStr">
        <is>
          <t>15</t>
        </is>
      </c>
      <c r="E20" s="28" t="inlineStr">
        <is>
          <t>切替後の重大障害
（影響：サービス停止）</t>
        </is>
      </c>
      <c r="F20" s="22" t="n"/>
      <c r="G20" s="28" t="inlineStr">
        <is>
          <t>切替後</t>
        </is>
      </c>
      <c r="H20" s="27" t="inlineStr">
        <is>
          <t>低</t>
        </is>
      </c>
      <c r="I20" s="27" t="inlineStr">
        <is>
          <t>高</t>
        </is>
      </c>
      <c r="J20" s="28" t="inlineStr">
        <is>
          <t>現行環境を 1 か月停止保持、切戻し手順のリハーサル</t>
        </is>
      </c>
      <c r="K20" s="22" t="n"/>
      <c r="L20" s="28" t="inlineStr">
        <is>
          <r>
            <rPr>
              <rFont val="ＭＳ Ｐゴシック"/>
              <color rgb="00000000"/>
              <sz val="9"/>
            </rPr>
            <t>切戻し（5.10）。切替後に新環境で更新されたデータの扱いを事前に定義</t>
          </r>
          <r>
            <rPr>
              <rFont val="ＭＳ Ｐゴシック"/>
              <b val="1"/>
              <color rgb="00FF0000"/>
              <sz val="9"/>
            </rPr>
            <t>【要確認】</t>
          </r>
        </is>
      </c>
      <c r="M20" s="22" t="n"/>
    </row>
    <row r="21" ht="79" customHeight="1">
      <c r="D21" s="27" t="inlineStr">
        <is>
          <t>16</t>
        </is>
      </c>
      <c r="E21" s="28" t="inlineStr">
        <is>
          <t>認証情報・機密データの漏えい（ダンプ・パスワード）
（影響：情報漏えい）</t>
        </is>
      </c>
      <c r="F21" s="22" t="n"/>
      <c r="G21" s="28" t="inlineStr">
        <is>
          <t>全工程</t>
        </is>
      </c>
      <c r="H21" s="27" t="inlineStr">
        <is>
          <t>低</t>
        </is>
      </c>
      <c r="I21" s="27" t="inlineStr">
        <is>
          <t>高</t>
        </is>
      </c>
      <c r="J21" s="28" t="inlineStr">
        <is>
          <t>S3 SSE-KMS・バケットポリシー、EBS 暗号化、パスワードをコマンドライン・ログに残さない（パラメータファイル権限 600、Secrets Manager）、作業後の削除（9 章）</t>
        </is>
      </c>
      <c r="K21" s="22" t="n"/>
      <c r="L21" s="28" t="inlineStr">
        <is>
          <t>インシデント手順に従う</t>
        </is>
      </c>
      <c r="M21" s="22" t="n"/>
    </row>
    <row r="22" ht="66.5" customHeight="1">
      <c r="D22" s="27" t="inlineStr">
        <is>
          <t>17</t>
        </is>
      </c>
      <c r="E22" s="28" t="inlineStr">
        <is>
          <t>作業ミス（誤環境での TRUNCATE、誤ったバッチの取込、スナップショット取り違え）
（影響：データ破壊）</t>
        </is>
      </c>
      <c r="F22" s="22" t="n"/>
      <c r="G22" s="28" t="inlineStr">
        <is>
          <t>全工程</t>
        </is>
      </c>
      <c r="H22" s="27" t="inlineStr">
        <is>
          <t>中</t>
        </is>
      </c>
      <c r="I22" s="27" t="inlineStr">
        <is>
          <t>高</t>
        </is>
      </c>
      <c r="J22" s="28" t="inlineStr">
        <is>
          <t>手順書・パラメータファイルの事前レビュー、環境ごとのプロンプト表示、二人作業（ダブルチェック）、削除保護、実行前のスナップショット</t>
        </is>
      </c>
      <c r="K22" s="22" t="n"/>
      <c r="L22" s="28" t="inlineStr">
        <is>
          <t>スナップショットからの復元</t>
        </is>
      </c>
      <c r="M22" s="22" t="n"/>
    </row>
    <row r="23" ht="54" customHeight="1">
      <c r="D23" s="27" t="inlineStr">
        <is>
          <t>18</t>
        </is>
      </c>
      <c r="E23" s="28" t="inlineStr">
        <is>
          <t>リハーサルと本番の差異（データ量・設定・手順の乖離）
（影響：想定外の時間超過・エラー）</t>
        </is>
      </c>
      <c r="F23" s="22" t="n"/>
      <c r="G23" s="28" t="inlineStr">
        <is>
          <t>本番</t>
        </is>
      </c>
      <c r="H23" s="27" t="inlineStr">
        <is>
          <t>中</t>
        </is>
      </c>
      <c r="I23" s="27" t="inlineStr">
        <is>
          <t>中</t>
        </is>
      </c>
      <c r="J23" s="28" t="inlineStr">
        <is>
          <t>本番相当データ・同一手順・同一スクリプトでのリハーサル、本番前の設定差分確認</t>
        </is>
      </c>
      <c r="K23" s="22" t="n"/>
      <c r="L23" s="28" t="inlineStr">
        <is>
          <t>差異箇所の是正、再リハーサル</t>
        </is>
      </c>
      <c r="M23" s="22" t="n"/>
    </row>
    <row r="24" ht="41.5" customHeight="1">
      <c r="D24" s="27" t="inlineStr">
        <is>
          <t>19</t>
        </is>
      </c>
      <c r="E24" s="28" t="inlineStr">
        <is>
          <t>要員・体制（休日作業、長時間作業による判断ミス）
（影響：作業品質低下）</t>
        </is>
      </c>
      <c r="F24" s="22" t="n"/>
      <c r="G24" s="28" t="inlineStr">
        <is>
          <t>本番</t>
        </is>
      </c>
      <c r="H24" s="27" t="inlineStr">
        <is>
          <t>中</t>
        </is>
      </c>
      <c r="I24" s="27" t="inlineStr">
        <is>
          <t>中</t>
        </is>
      </c>
      <c r="J24" s="28" t="inlineStr">
        <is>
          <t>体制表・交代要員、判断ポイントの明確化、チェックリスト</t>
        </is>
      </c>
      <c r="K24" s="22" t="n"/>
      <c r="L24" s="28" t="inlineStr">
        <is>
          <t>作業中断・切戻し判断</t>
        </is>
      </c>
      <c r="M24" s="22" t="n"/>
    </row>
    <row r="25" ht="66.5" customHeight="1">
      <c r="D25" s="27" t="inlineStr">
        <is>
          <t>20</t>
        </is>
      </c>
      <c r="E25" s="28" t="inlineStr">
        <is>
          <t>AWS 側の要因（RDS メンテナンス・バックアップウィンドウとの重複、サービス障害、API スロットリング）
（影響：作業遅延）</t>
        </is>
      </c>
      <c r="F25" s="22" t="n"/>
      <c r="G25" s="28" t="inlineStr">
        <is>
          <t>取込／切替</t>
        </is>
      </c>
      <c r="H25" s="27" t="inlineStr">
        <is>
          <t>低</t>
        </is>
      </c>
      <c r="I25" s="27" t="inlineStr">
        <is>
          <t>中</t>
        </is>
      </c>
      <c r="J25" s="28" t="inlineStr">
        <is>
          <t>メンテナンス・バックアップウィンドウを作業日と重ねない、AWS Health の確認、リトライ</t>
        </is>
      </c>
      <c r="K25" s="22" t="n"/>
      <c r="L25" s="28" t="inlineStr">
        <is>
          <t>待機・再実行、切替日程の見直し</t>
        </is>
      </c>
      <c r="M25" s="22" t="n"/>
    </row>
  </sheetData>
  <mergeCells count="65">
    <mergeCell ref="E12:F12"/>
    <mergeCell ref="L17:M17"/>
    <mergeCell ref="L7:M7"/>
    <mergeCell ref="J5:K5"/>
    <mergeCell ref="E24:F24"/>
    <mergeCell ref="L16:M16"/>
    <mergeCell ref="J14:K14"/>
    <mergeCell ref="D3:M3"/>
    <mergeCell ref="J10:K10"/>
    <mergeCell ref="E5:F5"/>
    <mergeCell ref="J19:K19"/>
    <mergeCell ref="E23:F23"/>
    <mergeCell ref="E14:F14"/>
    <mergeCell ref="L19:M19"/>
    <mergeCell ref="B1:M1"/>
    <mergeCell ref="J13:K13"/>
    <mergeCell ref="E17:F17"/>
    <mergeCell ref="E8:F8"/>
    <mergeCell ref="L13:M13"/>
    <mergeCell ref="J9:K9"/>
    <mergeCell ref="E20:F20"/>
    <mergeCell ref="L12:M12"/>
    <mergeCell ref="J6:K6"/>
    <mergeCell ref="E10:F10"/>
    <mergeCell ref="J24:K24"/>
    <mergeCell ref="J15:K15"/>
    <mergeCell ref="E19:F19"/>
    <mergeCell ref="L24:M24"/>
    <mergeCell ref="L15:M15"/>
    <mergeCell ref="L18:M18"/>
    <mergeCell ref="E13:F13"/>
    <mergeCell ref="L5:M5"/>
    <mergeCell ref="L23:M23"/>
    <mergeCell ref="L8:M8"/>
    <mergeCell ref="E9:F9"/>
    <mergeCell ref="L14:M14"/>
    <mergeCell ref="E6:F6"/>
    <mergeCell ref="J11:K11"/>
    <mergeCell ref="J20:K20"/>
    <mergeCell ref="E15:F15"/>
    <mergeCell ref="L20:M20"/>
    <mergeCell ref="J16:K16"/>
    <mergeCell ref="L10:M10"/>
    <mergeCell ref="J7:K7"/>
    <mergeCell ref="E11:F11"/>
    <mergeCell ref="J25:K25"/>
    <mergeCell ref="L25:M25"/>
    <mergeCell ref="J22:K22"/>
    <mergeCell ref="L22:M22"/>
    <mergeCell ref="L9:M9"/>
    <mergeCell ref="J21:K21"/>
    <mergeCell ref="J12:K12"/>
    <mergeCell ref="E16:F16"/>
    <mergeCell ref="L6:M6"/>
    <mergeCell ref="E7:F7"/>
    <mergeCell ref="E18:F18"/>
    <mergeCell ref="E21:F21"/>
    <mergeCell ref="L21:M21"/>
    <mergeCell ref="E25:F25"/>
    <mergeCell ref="J18:K18"/>
    <mergeCell ref="L11:M11"/>
    <mergeCell ref="E22:F22"/>
    <mergeCell ref="J23:K23"/>
    <mergeCell ref="J8:K8"/>
    <mergeCell ref="J17:K17"/>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B1:M53"/>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8. 移行作業における留意事項</t>
        </is>
      </c>
    </row>
    <row r="2" ht="4" customHeight="1"/>
    <row r="3" ht="20" customHeight="1">
      <c r="B3" s="19" t="inlineStr">
        <is>
          <t>8.1. データバックアップ</t>
        </is>
      </c>
      <c r="C3" s="20" t="n"/>
      <c r="D3" s="20" t="n"/>
      <c r="E3" s="20" t="n"/>
      <c r="F3" s="20" t="n"/>
      <c r="G3" s="20" t="n"/>
      <c r="H3" s="20" t="n"/>
      <c r="I3" s="20" t="n"/>
      <c r="J3" s="20" t="n"/>
      <c r="K3" s="20" t="n"/>
      <c r="L3" s="20" t="n"/>
      <c r="M3" s="20" t="n"/>
    </row>
    <row r="4" ht="17.5" customHeight="1">
      <c r="D4" s="8" t="inlineStr">
        <is>
          <t>No</t>
        </is>
      </c>
      <c r="E4" s="8" t="inlineStr">
        <is>
          <t>時点</t>
        </is>
      </c>
      <c r="F4" s="22" t="n"/>
      <c r="G4" s="8" t="inlineStr">
        <is>
          <t>バックアップ</t>
        </is>
      </c>
      <c r="H4" s="23" t="n"/>
      <c r="I4" s="23" t="n"/>
      <c r="J4" s="22" t="n"/>
      <c r="K4" s="8" t="inlineStr">
        <is>
          <t>目的・保持</t>
        </is>
      </c>
      <c r="L4" s="23" t="n"/>
      <c r="M4" s="22" t="n"/>
    </row>
    <row r="5" ht="31" customHeight="1">
      <c r="D5" s="24" t="inlineStr">
        <is>
          <t>1</t>
        </is>
      </c>
      <c r="E5" s="10" t="inlineStr">
        <is>
          <t>初期全量移行の前</t>
        </is>
      </c>
      <c r="F5" s="22" t="n"/>
      <c r="G5" s="10" t="inlineStr">
        <is>
          <t>現行 EC2 の AMI（EBS スナップショット）＋現行のバックアップジョブ（既存方式）の直近成功分を確認</t>
        </is>
      </c>
      <c r="H5" s="23" t="n"/>
      <c r="I5" s="23" t="n"/>
      <c r="J5" s="22" t="n"/>
      <c r="K5" s="10" t="inlineStr">
        <is>
          <t>現行の保全。移行完了・切戻し期間終了まで保持</t>
        </is>
      </c>
      <c r="L5" s="23" t="n"/>
      <c r="M5" s="22" t="n"/>
    </row>
    <row r="6" ht="31" customHeight="1">
      <c r="D6" s="24" t="inlineStr">
        <is>
          <t>2</t>
        </is>
      </c>
      <c r="E6" s="10" t="inlineStr">
        <is>
          <t>初期全量移行後</t>
        </is>
      </c>
      <c r="F6" s="22" t="n"/>
      <c r="G6" s="10" t="inlineStr">
        <is>
          <t>RDS 基点スナップショット（icdbh01-baseline-YYYYMMDD）</t>
        </is>
      </c>
      <c r="H6" s="23" t="n"/>
      <c r="I6" s="23" t="n"/>
      <c r="J6" s="22" t="n"/>
      <c r="K6" s="10" t="inlineStr">
        <is>
          <t>差分移行前の復元元。切替完了・切戻し期間終了まで保持</t>
        </is>
      </c>
      <c r="L6" s="23" t="n"/>
      <c r="M6" s="22" t="n"/>
    </row>
    <row r="7" ht="31" customHeight="1">
      <c r="D7" s="24" t="inlineStr">
        <is>
          <t>3</t>
        </is>
      </c>
      <c r="E7" s="10" t="inlineStr">
        <is>
          <t>切替前日</t>
        </is>
      </c>
      <c r="F7" s="22" t="n"/>
      <c r="G7" s="10" t="inlineStr">
        <is>
          <t>RDS を基点から復元後、復元直後のスナップショット（任意）</t>
        </is>
      </c>
      <c r="H7" s="23" t="n"/>
      <c r="I7" s="23" t="n"/>
      <c r="J7" s="22" t="n"/>
      <c r="K7" s="10" t="inlineStr">
        <is>
          <t>差分取込失敗時のやり直し用</t>
        </is>
      </c>
      <c r="L7" s="23" t="n"/>
      <c r="M7" s="22" t="n"/>
    </row>
    <row r="8" ht="17.5" customHeight="1">
      <c r="D8" s="24" t="inlineStr">
        <is>
          <t>4</t>
        </is>
      </c>
      <c r="E8" s="10" t="inlineStr">
        <is>
          <t>切替当日（業務停止後）</t>
        </is>
      </c>
      <c r="F8" s="22" t="n"/>
      <c r="G8" s="10" t="inlineStr">
        <is>
          <t>現行 EC2 の AMI（静止点）。現行 DB の最終状態</t>
        </is>
      </c>
      <c r="H8" s="23" t="n"/>
      <c r="I8" s="23" t="n"/>
      <c r="J8" s="22" t="n"/>
      <c r="K8" s="10" t="inlineStr">
        <is>
          <r>
            <rPr>
              <rFont val="ＭＳ Ｐゴシック"/>
              <color rgb="00000000"/>
              <sz val="10"/>
            </rPr>
            <t>切戻し・事後調査用。1 か月保持</t>
          </r>
          <r>
            <rPr>
              <rFont val="ＭＳ Ｐゴシック"/>
              <b val="1"/>
              <color rgb="00FF0000"/>
              <sz val="10"/>
            </rPr>
            <t>【要確認】</t>
          </r>
        </is>
      </c>
      <c r="L8" s="23" t="n"/>
      <c r="M8" s="22" t="n"/>
    </row>
    <row r="9" ht="31" customHeight="1">
      <c r="D9" s="24" t="inlineStr">
        <is>
          <t>5</t>
        </is>
      </c>
      <c r="E9" s="10" t="inlineStr">
        <is>
          <t>切替直後</t>
        </is>
      </c>
      <c r="F9" s="22" t="n"/>
      <c r="G9" s="10" t="inlineStr">
        <is>
          <t>RDS 手動スナップショット（icdbh01-cutover-YYYYMMDD）</t>
        </is>
      </c>
      <c r="H9" s="23" t="n"/>
      <c r="I9" s="23" t="n"/>
      <c r="J9" s="22" t="n"/>
      <c r="K9" s="10" t="inlineStr">
        <is>
          <t>本番開始時点の基準。長期保持</t>
        </is>
      </c>
      <c r="L9" s="23" t="n"/>
      <c r="M9" s="22" t="n"/>
    </row>
    <row r="10" ht="31" customHeight="1">
      <c r="D10" s="24" t="inlineStr">
        <is>
          <t>6</t>
        </is>
      </c>
      <c r="E10" s="10" t="inlineStr">
        <is>
          <t>ダンプファイル</t>
        </is>
      </c>
      <c r="F10" s="22" t="n"/>
      <c r="G10" s="10" t="inlineStr">
        <is>
          <t>全量ダンプ（S3）・差分ダンプ（S3）。中継領域・一時 EBS のコピー</t>
        </is>
      </c>
      <c r="H10" s="23" t="n"/>
      <c r="I10" s="23" t="n"/>
      <c r="J10" s="22" t="n"/>
      <c r="K10" s="10" t="inlineStr">
        <is>
          <t>再取込用。切戻し期間終了後に削除（9 章）</t>
        </is>
      </c>
      <c r="L10" s="23" t="n"/>
      <c r="M10" s="22" t="n"/>
    </row>
    <row r="11" ht="31" customHeight="1">
      <c r="D11" s="24" t="inlineStr">
        <is>
          <t>7</t>
        </is>
      </c>
      <c r="E11" s="10" t="inlineStr">
        <is>
          <t>移行後の定常運用</t>
        </is>
      </c>
      <c r="F11" s="22" t="n"/>
      <c r="G11" s="10" t="inlineStr">
        <is>
          <t>RDS 自動バックアップ 7 日、週次手動スナップショット 2 世代、日次 Data Pump→S3 7 世代（移行仕様書）</t>
        </is>
      </c>
      <c r="H11" s="23" t="n"/>
      <c r="I11" s="23" t="n"/>
      <c r="J11" s="22" t="n"/>
      <c r="K11" s="10" t="inlineStr">
        <is>
          <t>運用設計に従う</t>
        </is>
      </c>
      <c r="L11" s="23" t="n"/>
      <c r="M11" s="22" t="n"/>
    </row>
    <row r="12" ht="6" customHeight="1"/>
    <row r="13" ht="20" customHeight="1">
      <c r="B13" s="19" t="inlineStr">
        <is>
          <t>8.2. 移行時間帯</t>
        </is>
      </c>
      <c r="C13" s="20" t="n"/>
      <c r="D13" s="20" t="n"/>
      <c r="E13" s="20" t="n"/>
      <c r="F13" s="20" t="n"/>
      <c r="G13" s="20" t="n"/>
      <c r="H13" s="20" t="n"/>
      <c r="I13" s="20" t="n"/>
      <c r="J13" s="20" t="n"/>
      <c r="K13" s="20" t="n"/>
      <c r="L13" s="20" t="n"/>
      <c r="M13" s="20" t="n"/>
    </row>
    <row r="14" ht="31" customHeight="1">
      <c r="D14" s="7" t="inlineStr">
        <is>
          <t>・初期全量移行：週末（土曜開始）に実施し、現行の業務時間帯（月～金 8:00～22:00、土 8:00～18:00）への影響を最小化する。expdp の PARALLEL・rsync の帯域は業務時間帯には抑制する。</t>
        </is>
      </c>
    </row>
    <row r="15" ht="17.5" customHeight="1">
      <c r="D15" s="7" t="inlineStr">
        <is>
          <r>
            <rPr>
              <rFont val="ＭＳ Ｐゴシック"/>
              <color rgb="00000000"/>
              <sz val="10"/>
            </rPr>
            <t>・本番切替：計画保守時間帯（日曜 0:00～23:59）内の 4 時間枠で実施する。開始時刻 T は業務主管・連携先と合意する</t>
          </r>
          <r>
            <rPr>
              <rFont val="ＭＳ Ｐゴシック"/>
              <b val="1"/>
              <color rgb="00FF0000"/>
              <sz val="10"/>
            </rPr>
            <t>【要確認】</t>
          </r>
          <r>
            <rPr>
              <rFont val="ＭＳ Ｐゴシック"/>
              <color rgb="00000000"/>
              <sz val="10"/>
            </rPr>
            <t>。</t>
          </r>
        </is>
      </c>
    </row>
    <row r="16" ht="17.5" customHeight="1">
      <c r="D16" s="7" t="inlineStr">
        <is>
          <t>・RDS のメンテナンスウィンドウ・バックアップウィンドウは、初期全量移行・切替の作業時間と重ならないよう設定する（3.2.1）。</t>
        </is>
      </c>
    </row>
    <row r="17" ht="17.5" customHeight="1">
      <c r="D17" s="7" t="inlineStr">
        <is>
          <t>・連携先（FWSS・eHUB・SFDC）のバッチ・転送スケジュールを確認し、停止・再開時刻を事前に合意する。</t>
        </is>
      </c>
    </row>
    <row r="18" ht="17.5" customHeight="1">
      <c r="D18" s="7" t="inlineStr">
        <is>
          <t>・月末・期末・組織変更時期（春秋）など業務ピークを避けて日程を決める。</t>
        </is>
      </c>
    </row>
    <row r="19" ht="6" customHeight="1"/>
    <row r="20" ht="20" customHeight="1">
      <c r="B20" s="19" t="inlineStr">
        <is>
          <t>8.3. 移行ログ・記録</t>
        </is>
      </c>
      <c r="C20" s="20" t="n"/>
      <c r="D20" s="20" t="n"/>
      <c r="E20" s="20" t="n"/>
      <c r="F20" s="20" t="n"/>
      <c r="G20" s="20" t="n"/>
      <c r="H20" s="20" t="n"/>
      <c r="I20" s="20" t="n"/>
      <c r="J20" s="20" t="n"/>
      <c r="K20" s="20" t="n"/>
      <c r="L20" s="20" t="n"/>
      <c r="M20" s="20" t="n"/>
    </row>
    <row r="21" ht="17.5" customHeight="1">
      <c r="D21" s="8" t="inlineStr">
        <is>
          <t>No</t>
        </is>
      </c>
      <c r="E21" s="8" t="inlineStr">
        <is>
          <t>記録</t>
        </is>
      </c>
      <c r="F21" s="22" t="n"/>
      <c r="G21" s="8" t="inlineStr">
        <is>
          <t>内容</t>
        </is>
      </c>
      <c r="H21" s="23" t="n"/>
      <c r="I21" s="23" t="n"/>
      <c r="J21" s="22" t="n"/>
      <c r="K21" s="8" t="inlineStr">
        <is>
          <t>保管</t>
        </is>
      </c>
      <c r="L21" s="23" t="n"/>
      <c r="M21" s="22" t="n"/>
    </row>
    <row r="22" ht="31" customHeight="1">
      <c r="D22" s="24" t="inlineStr">
        <is>
          <t>1</t>
        </is>
      </c>
      <c r="E22" s="10" t="inlineStr">
        <is>
          <t>作業記録台帳</t>
        </is>
      </c>
      <c r="F22" s="22" t="n"/>
      <c r="G22" s="10" t="inlineStr">
        <is>
          <t>S0／T0／S1、各工程の開始・終了時刻、実施者、結果、判断（Go/No-Go、切戻し）</t>
        </is>
      </c>
      <c r="H22" s="23" t="n"/>
      <c r="I22" s="23" t="n"/>
      <c r="J22" s="22" t="n"/>
      <c r="K22" s="10" t="inlineStr">
        <is>
          <t>移行完了後に移行結果報告書へ添付</t>
        </is>
      </c>
      <c r="L22" s="23" t="n"/>
      <c r="M22" s="22" t="n"/>
    </row>
    <row r="23" ht="31" customHeight="1">
      <c r="D23" s="24" t="inlineStr">
        <is>
          <t>2</t>
        </is>
      </c>
      <c r="E23" s="10" t="inlineStr">
        <is>
          <t>コマンド実行ログ</t>
        </is>
      </c>
      <c r="F23" s="22" t="n"/>
      <c r="G23" s="10" t="inlineStr">
        <is>
          <t>全作業を script／tee で記録（パスワードは含めない）</t>
        </is>
      </c>
      <c r="H23" s="23" t="n"/>
      <c r="I23" s="23" t="n"/>
      <c r="J23" s="22" t="n"/>
      <c r="K23" s="10" t="inlineStr">
        <is>
          <t>新 AP/API サーバ /disk3/dpump/log → S3 logs/</t>
        </is>
      </c>
      <c r="L23" s="23" t="n"/>
      <c r="M23" s="22" t="n"/>
    </row>
    <row r="24" ht="31" customHeight="1">
      <c r="D24" s="24" t="inlineStr">
        <is>
          <t>3</t>
        </is>
      </c>
      <c r="E24" s="10" t="inlineStr">
        <is>
          <t>Data Pump ログ</t>
        </is>
      </c>
      <c r="F24" s="22" t="n"/>
      <c r="G24" s="10" t="inlineStr">
        <is>
          <t>expdp／impdp のログ（表別行数を含む）</t>
        </is>
      </c>
      <c r="H24" s="23" t="n"/>
      <c r="I24" s="23" t="n"/>
      <c r="J24" s="22" t="n"/>
      <c r="K24" s="10" t="inlineStr">
        <is>
          <t>現行・RDS（DATA_PUMP_DIR → upload_to_s3）→ S3 logs/</t>
        </is>
      </c>
      <c r="L24" s="23" t="n"/>
      <c r="M24" s="22" t="n"/>
    </row>
    <row r="25" ht="31" customHeight="1">
      <c r="D25" s="24" t="inlineStr">
        <is>
          <t>4</t>
        </is>
      </c>
      <c r="E25" s="10" t="inlineStr">
        <is>
          <t>RDS タスクログ</t>
        </is>
      </c>
      <c r="F25" s="22" t="n"/>
      <c r="G25" s="10" t="inlineStr">
        <is>
          <t>rdsadmin_s3_tasks の dbtask-&lt;ID&gt;.log（BDUMP）</t>
        </is>
      </c>
      <c r="H25" s="23" t="n"/>
      <c r="I25" s="23" t="n"/>
      <c r="J25" s="22" t="n"/>
      <c r="K25" s="10" t="inlineStr">
        <is>
          <t>rds_file_util.read_text_file で取得し保管</t>
        </is>
      </c>
      <c r="L25" s="23" t="n"/>
      <c r="M25" s="22" t="n"/>
    </row>
    <row r="26" ht="17.5" customHeight="1">
      <c r="D26" s="24" t="inlineStr">
        <is>
          <t>5</t>
        </is>
      </c>
      <c r="E26" s="10" t="inlineStr">
        <is>
          <t>チェックサム・マニフェスト</t>
        </is>
      </c>
      <c r="F26" s="22" t="n"/>
      <c r="G26" s="10" t="inlineStr">
        <is>
          <t>sha256、ファイル一覧・サイズ、S3 のオブジェクト一覧</t>
        </is>
      </c>
      <c r="H26" s="23" t="n"/>
      <c r="I26" s="23" t="n"/>
      <c r="J26" s="22" t="n"/>
      <c r="K26" s="10" t="inlineStr">
        <is>
          <t>S3 logs/</t>
        </is>
      </c>
      <c r="L26" s="23" t="n"/>
      <c r="M26" s="22" t="n"/>
    </row>
    <row r="27" ht="31" customHeight="1">
      <c r="D27" s="24" t="inlineStr">
        <is>
          <t>6</t>
        </is>
      </c>
      <c r="E27" s="10" t="inlineStr">
        <is>
          <t>突合結果</t>
        </is>
      </c>
      <c r="F27" s="22" t="n"/>
      <c r="G27" s="10" t="inlineStr">
        <is>
          <t>件数・ハッシュ・オブジェクト数の CSV と突合シート（Excel）</t>
        </is>
      </c>
      <c r="H27" s="23" t="n"/>
      <c r="I27" s="23" t="n"/>
      <c r="J27" s="22" t="n"/>
      <c r="K27" s="10" t="inlineStr">
        <is>
          <t>検証結果報告書</t>
        </is>
      </c>
      <c r="L27" s="23" t="n"/>
      <c r="M27" s="22" t="n"/>
    </row>
    <row r="28" ht="17.5" customHeight="1">
      <c r="D28" s="24" t="inlineStr">
        <is>
          <t>7</t>
        </is>
      </c>
      <c r="E28" s="10" t="inlineStr">
        <is>
          <t>AWS 操作ログ</t>
        </is>
      </c>
      <c r="F28" s="22" t="n"/>
      <c r="G28" s="10" t="inlineStr">
        <is>
          <t>CloudTrail（RDS・S3・EC2 操作）、RDS イベント</t>
        </is>
      </c>
      <c r="H28" s="23" t="n"/>
      <c r="I28" s="23" t="n"/>
      <c r="J28" s="22" t="n"/>
      <c r="K28" s="10" t="inlineStr">
        <is>
          <t>AWS 側で保持</t>
        </is>
      </c>
      <c r="L28" s="23" t="n"/>
      <c r="M28" s="22" t="n"/>
    </row>
    <row r="29" ht="17.5" customHeight="1">
      <c r="D29" s="24" t="inlineStr">
        <is>
          <t>8</t>
        </is>
      </c>
      <c r="E29" s="10" t="inlineStr">
        <is>
          <t>課題・障害記録</t>
        </is>
      </c>
      <c r="F29" s="22" t="n"/>
      <c r="G29" s="10" t="inlineStr">
        <is>
          <t>発生事象・原因・対処・再発防止</t>
        </is>
      </c>
      <c r="H29" s="23" t="n"/>
      <c r="I29" s="23" t="n"/>
      <c r="J29" s="22" t="n"/>
      <c r="K29" s="10" t="inlineStr">
        <is>
          <t>移行結果報告書</t>
        </is>
      </c>
      <c r="L29" s="23" t="n"/>
      <c r="M29" s="22" t="n"/>
    </row>
    <row r="30" ht="6" customHeight="1"/>
    <row r="31" ht="20" customHeight="1">
      <c r="B31" s="19" t="inlineStr">
        <is>
          <t>8.4. セキュリティ</t>
        </is>
      </c>
      <c r="C31" s="20" t="n"/>
      <c r="D31" s="20" t="n"/>
      <c r="E31" s="20" t="n"/>
      <c r="F31" s="20" t="n"/>
      <c r="G31" s="20" t="n"/>
      <c r="H31" s="20" t="n"/>
      <c r="I31" s="20" t="n"/>
      <c r="J31" s="20" t="n"/>
      <c r="K31" s="20" t="n"/>
      <c r="L31" s="20" t="n"/>
      <c r="M31" s="20" t="n"/>
    </row>
    <row r="32" ht="31" customHeight="1">
      <c r="D32" s="7" t="inlineStr">
        <is>
          <t>・ダンプファイルには顧客情報が含まれるため、保存先（一時 EBS・中継領域・S3・RDS ストレージ）は全て暗号化し、アクセスは移行作業者と RDS のロールに限定する。</t>
        </is>
      </c>
    </row>
    <row r="33" ht="31" customHeight="1">
      <c r="D33" s="7" t="inlineStr">
        <is>
          <t>・パスワードはコマンドライン引数・シェル履歴・ログに残さない（expdp／impdp はパラメータファイル（権限 600）または対話入力、sqlplus は /nolog + CONNECT）。マスタユーザ等は Secrets Manager で管理する。</t>
        </is>
      </c>
    </row>
    <row r="34" ht="17.5" customHeight="1">
      <c r="D34" s="7" t="inlineStr">
        <is>
          <t>・Data Pump の ENCRYPTION パラメータ（Advanced Security オプション）は使用せず、保存先の暗号化で代替する。</t>
        </is>
      </c>
    </row>
    <row r="35" ht="17.5" customHeight="1">
      <c r="D35" s="7" t="inlineStr">
        <is>
          <t>・移行期間のみ許可する通信（SG の TCP 22、ssh 鍵、LEGACY 暗号ポリシー）は移行完了後に削除・復旧する（9 章）。</t>
        </is>
      </c>
    </row>
    <row r="36" ht="17.5" customHeight="1">
      <c r="D36" s="7" t="inlineStr">
        <is>
          <r>
            <rPr>
              <rFont val="ＭＳ Ｐゴシック"/>
              <color rgb="00000000"/>
              <sz val="10"/>
            </rPr>
            <t>・本番データを QA へ持ち込む場合（リハーサル）は個人情報の取扱い規程に従う</t>
          </r>
          <r>
            <rPr>
              <rFont val="ＭＳ Ｐゴシック"/>
              <b val="1"/>
              <color rgb="00FF0000"/>
              <sz val="10"/>
            </rPr>
            <t>【要確認】</t>
          </r>
          <r>
            <rPr>
              <rFont val="ＭＳ Ｐゴシック"/>
              <color rgb="00000000"/>
              <sz val="10"/>
            </rPr>
            <t>。</t>
          </r>
        </is>
      </c>
    </row>
    <row r="37" ht="6" customHeight="1"/>
    <row r="38" ht="20" customHeight="1">
      <c r="B38" s="19" t="inlineStr">
        <is>
          <t>8.5. 変更凍結・運用連携</t>
        </is>
      </c>
      <c r="C38" s="20" t="n"/>
      <c r="D38" s="20" t="n"/>
      <c r="E38" s="20" t="n"/>
      <c r="F38" s="20" t="n"/>
      <c r="G38" s="20" t="n"/>
      <c r="H38" s="20" t="n"/>
      <c r="I38" s="20" t="n"/>
      <c r="J38" s="20" t="n"/>
      <c r="K38" s="20" t="n"/>
      <c r="L38" s="20" t="n"/>
      <c r="M38" s="20" t="n"/>
    </row>
    <row r="39" ht="31" customHeight="1">
      <c r="D39" s="7" t="inlineStr">
        <is>
          <t>・初期全量移行の開始から本番切替までの期間、現行 DB の DDL 変更（表定義・索引・PL/SQL の変更）、アプリケーションリリース、パッチ適用を凍結する。やむを得ない変更は移行リーダーの承認を得て、RDS へも同一変更を適用し記録する。</t>
        </is>
      </c>
    </row>
    <row r="40" ht="17.5" customHeight="1">
      <c r="D40" s="7" t="inlineStr">
        <is>
          <t>・検証期間中の新環境（RDS）の更新は検証目的に限り、業務データとしては扱わない（差分移行前に破棄される）ことを関係者に周知する。</t>
        </is>
      </c>
    </row>
    <row r="41" ht="17.5" customHeight="1">
      <c r="D41" s="7" t="inlineStr">
        <is>
          <t>・監視（Tivoli／CloudWatch）は作業中のアラート抑止と作業後の解除を手順化する。</t>
        </is>
      </c>
    </row>
    <row r="42" ht="17.5" customHeight="1">
      <c r="D42" s="7" t="inlineStr">
        <is>
          <t>・JP1 ジョブ・ASTERIA フロー・HULFT の停止・再開は各運用手順書に従い、停止漏れ・二重実行がないようチェックリストで確認する。</t>
        </is>
      </c>
    </row>
    <row r="43" ht="17.5" customHeight="1">
      <c r="D43" s="7" t="inlineStr">
        <is>
          <t>・環境ごと（dev→qa→honban）に同一手順を適用し、手順書は版管理する。リハーサルで判明した修正は本番前に反映する。</t>
        </is>
      </c>
    </row>
    <row r="44" ht="6" customHeight="1"/>
    <row r="45" ht="20" customHeight="1">
      <c r="B45" s="19" t="inlineStr">
        <is>
          <t>8.6. 体制・役割</t>
        </is>
      </c>
      <c r="C45" s="20" t="n"/>
      <c r="D45" s="20" t="n"/>
      <c r="E45" s="20" t="n"/>
      <c r="F45" s="20" t="n"/>
      <c r="G45" s="20" t="n"/>
      <c r="H45" s="20" t="n"/>
      <c r="I45" s="20" t="n"/>
      <c r="J45" s="20" t="n"/>
      <c r="K45" s="20" t="n"/>
      <c r="L45" s="20" t="n"/>
      <c r="M45" s="20" t="n"/>
    </row>
    <row r="46" ht="17.5" customHeight="1">
      <c r="D46" s="8" t="inlineStr">
        <is>
          <t>役割</t>
        </is>
      </c>
      <c r="E46" s="22" t="n"/>
      <c r="F46" s="8" t="inlineStr">
        <is>
          <t>担当（記入）</t>
        </is>
      </c>
      <c r="G46" s="22" t="n"/>
      <c r="H46" s="8" t="inlineStr">
        <is>
          <t>主な責務</t>
        </is>
      </c>
      <c r="I46" s="23" t="n"/>
      <c r="J46" s="23" t="n"/>
      <c r="K46" s="23" t="n"/>
      <c r="L46" s="23" t="n"/>
      <c r="M46" s="22" t="n"/>
    </row>
    <row r="47" ht="17.5" customHeight="1">
      <c r="D47" s="10" t="inlineStr">
        <is>
          <t>移行リーダー</t>
        </is>
      </c>
      <c r="E47" s="22" t="n"/>
      <c r="F47" s="10" t="inlineStr">
        <is>
          <t>（記入）</t>
        </is>
      </c>
      <c r="G47" s="22" t="n"/>
      <c r="H47" s="10" t="inlineStr">
        <is>
          <t>全体進行、Go/No-Go・切戻し判断、関係者連絡</t>
        </is>
      </c>
      <c r="I47" s="23" t="n"/>
      <c r="J47" s="23" t="n"/>
      <c r="K47" s="23" t="n"/>
      <c r="L47" s="23" t="n"/>
      <c r="M47" s="22" t="n"/>
    </row>
    <row r="48" ht="17.5" customHeight="1">
      <c r="D48" s="10" t="inlineStr">
        <is>
          <t>DB 担当</t>
        </is>
      </c>
      <c r="E48" s="22" t="n"/>
      <c r="F48" s="10" t="inlineStr">
        <is>
          <t>（記入）</t>
        </is>
      </c>
      <c r="G48" s="22" t="n"/>
      <c r="H48" s="10" t="inlineStr">
        <is>
          <t>現行 DB 操作（SCN 取得・expdp）、転送、RDS 取込・事後処理・突合</t>
        </is>
      </c>
      <c r="I48" s="23" t="n"/>
      <c r="J48" s="23" t="n"/>
      <c r="K48" s="23" t="n"/>
      <c r="L48" s="23" t="n"/>
      <c r="M48" s="22" t="n"/>
    </row>
    <row r="49" ht="17.5" customHeight="1">
      <c r="D49" s="10" t="inlineStr">
        <is>
          <t>AWS 担当</t>
        </is>
      </c>
      <c r="E49" s="22" t="n"/>
      <c r="F49" s="10" t="inlineStr">
        <is>
          <t>（記入）</t>
        </is>
      </c>
      <c r="G49" s="22" t="n"/>
      <c r="H49" s="10" t="inlineStr">
        <is>
          <t>RDS・S3・IAM・ネットワークの設定、復元、監視設定</t>
        </is>
      </c>
      <c r="I49" s="23" t="n"/>
      <c r="J49" s="23" t="n"/>
      <c r="K49" s="23" t="n"/>
      <c r="L49" s="23" t="n"/>
      <c r="M49" s="22" t="n"/>
    </row>
    <row r="50" ht="17.5" customHeight="1">
      <c r="D50" s="10" t="inlineStr">
        <is>
          <t>AP 担当</t>
        </is>
      </c>
      <c r="E50" s="22" t="n"/>
      <c r="F50" s="10" t="inlineStr">
        <is>
          <t>（記入）</t>
        </is>
      </c>
      <c r="G50" s="22" t="n"/>
      <c r="H50" s="10" t="inlineStr">
        <is>
          <t>Tomcat・ASTERIA・バッチ・JP1・Data Loader の停止・接続切替・起動・疎通確認</t>
        </is>
      </c>
      <c r="I50" s="23" t="n"/>
      <c r="J50" s="23" t="n"/>
      <c r="K50" s="23" t="n"/>
      <c r="L50" s="23" t="n"/>
      <c r="M50" s="22" t="n"/>
    </row>
    <row r="51" ht="17.5" customHeight="1">
      <c r="D51" s="10" t="inlineStr">
        <is>
          <t>業務主管</t>
        </is>
      </c>
      <c r="E51" s="22" t="n"/>
      <c r="F51" s="10" t="inlineStr">
        <is>
          <t>（記入）</t>
        </is>
      </c>
      <c r="G51" s="22" t="n"/>
      <c r="H51" s="10" t="inlineStr">
        <is>
          <t>方式C の判定、業務確認、サービス開始承認</t>
        </is>
      </c>
      <c r="I51" s="23" t="n"/>
      <c r="J51" s="23" t="n"/>
      <c r="K51" s="23" t="n"/>
      <c r="L51" s="23" t="n"/>
      <c r="M51" s="22" t="n"/>
    </row>
    <row r="52" ht="17.5" customHeight="1">
      <c r="D52" s="10" t="inlineStr">
        <is>
          <t>連携先窓口</t>
        </is>
      </c>
      <c r="E52" s="22" t="n"/>
      <c r="F52" s="10" t="inlineStr">
        <is>
          <t>（記入）</t>
        </is>
      </c>
      <c r="G52" s="22" t="n"/>
      <c r="H52" s="10" t="inlineStr">
        <is>
          <t>FWSS・eHUB・SFDC との停止・再開調整</t>
        </is>
      </c>
      <c r="I52" s="23" t="n"/>
      <c r="J52" s="23" t="n"/>
      <c r="K52" s="23" t="n"/>
      <c r="L52" s="23" t="n"/>
      <c r="M52" s="22" t="n"/>
    </row>
    <row r="53" ht="17.5" customHeight="1">
      <c r="D53" s="10" t="inlineStr">
        <is>
          <t>運用担当</t>
        </is>
      </c>
      <c r="E53" s="22" t="n"/>
      <c r="F53" s="10" t="inlineStr">
        <is>
          <t>（記入）</t>
        </is>
      </c>
      <c r="G53" s="22" t="n"/>
      <c r="H53" s="10" t="inlineStr">
        <is>
          <t>監視抑止・解除、バックアップ、ジョブ運用、初期流動監視</t>
        </is>
      </c>
      <c r="I53" s="23" t="n"/>
      <c r="J53" s="23" t="n"/>
      <c r="K53" s="23" t="n"/>
      <c r="L53" s="23" t="n"/>
      <c r="M53" s="22" t="n"/>
    </row>
  </sheetData>
  <mergeCells count="97">
    <mergeCell ref="H51:M51"/>
    <mergeCell ref="G4:J4"/>
    <mergeCell ref="E23:F23"/>
    <mergeCell ref="D39:M39"/>
    <mergeCell ref="E8:F8"/>
    <mergeCell ref="D14:M14"/>
    <mergeCell ref="K27:M27"/>
    <mergeCell ref="D48:E48"/>
    <mergeCell ref="K10:M10"/>
    <mergeCell ref="G8:J8"/>
    <mergeCell ref="E27:F27"/>
    <mergeCell ref="H53:M53"/>
    <mergeCell ref="K25:M25"/>
    <mergeCell ref="G10:J10"/>
    <mergeCell ref="D41:M41"/>
    <mergeCell ref="K9:M9"/>
    <mergeCell ref="K5:M5"/>
    <mergeCell ref="D17:M17"/>
    <mergeCell ref="D51:E51"/>
    <mergeCell ref="E22:F22"/>
    <mergeCell ref="D43:M43"/>
    <mergeCell ref="K29:M29"/>
    <mergeCell ref="K11:M11"/>
    <mergeCell ref="H46:M46"/>
    <mergeCell ref="K22:M22"/>
    <mergeCell ref="E5:F5"/>
    <mergeCell ref="G29:J29"/>
    <mergeCell ref="H52:M52"/>
    <mergeCell ref="E4:F4"/>
    <mergeCell ref="K8:M8"/>
    <mergeCell ref="G22:J22"/>
    <mergeCell ref="K23:M23"/>
    <mergeCell ref="G21:J21"/>
    <mergeCell ref="H47:M47"/>
    <mergeCell ref="K7:M7"/>
    <mergeCell ref="D53:E53"/>
    <mergeCell ref="D47:E47"/>
    <mergeCell ref="F47:G47"/>
    <mergeCell ref="G23:J23"/>
    <mergeCell ref="D40:M40"/>
    <mergeCell ref="K4:M4"/>
    <mergeCell ref="B20:M20"/>
    <mergeCell ref="B45:M45"/>
    <mergeCell ref="F46:G46"/>
    <mergeCell ref="G7:J7"/>
    <mergeCell ref="E26:F26"/>
    <mergeCell ref="D32:M32"/>
    <mergeCell ref="F48:G48"/>
    <mergeCell ref="E25:F25"/>
    <mergeCell ref="H50:M50"/>
    <mergeCell ref="B31:M31"/>
    <mergeCell ref="G24:J24"/>
    <mergeCell ref="D16:M16"/>
    <mergeCell ref="H49:M49"/>
    <mergeCell ref="G26:J26"/>
    <mergeCell ref="D18:M18"/>
    <mergeCell ref="B13:M13"/>
    <mergeCell ref="G25:J25"/>
    <mergeCell ref="D42:M42"/>
    <mergeCell ref="G9:J9"/>
    <mergeCell ref="D52:E52"/>
    <mergeCell ref="F53:G53"/>
    <mergeCell ref="E29:F29"/>
    <mergeCell ref="D35:M35"/>
    <mergeCell ref="D49:E49"/>
    <mergeCell ref="D34:M34"/>
    <mergeCell ref="G11:J11"/>
    <mergeCell ref="F50:G50"/>
    <mergeCell ref="H48:M48"/>
    <mergeCell ref="E6:F6"/>
    <mergeCell ref="D36:M36"/>
    <mergeCell ref="K24:M24"/>
    <mergeCell ref="E7:F7"/>
    <mergeCell ref="K21:M21"/>
    <mergeCell ref="F49:G49"/>
    <mergeCell ref="K26:M26"/>
    <mergeCell ref="E24:F24"/>
    <mergeCell ref="D46:E46"/>
    <mergeCell ref="D15:M15"/>
    <mergeCell ref="B1:M1"/>
    <mergeCell ref="D33:M33"/>
    <mergeCell ref="B38:M38"/>
    <mergeCell ref="E10:F10"/>
    <mergeCell ref="F51:G51"/>
    <mergeCell ref="E28:F28"/>
    <mergeCell ref="E9:F9"/>
    <mergeCell ref="G27:J27"/>
    <mergeCell ref="K28:M28"/>
    <mergeCell ref="K6:M6"/>
    <mergeCell ref="E11:F11"/>
    <mergeCell ref="F52:G52"/>
    <mergeCell ref="G28:J28"/>
    <mergeCell ref="G6:J6"/>
    <mergeCell ref="B3:M3"/>
    <mergeCell ref="D50:E50"/>
    <mergeCell ref="G5:J5"/>
    <mergeCell ref="E21:F21"/>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B1:M32"/>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9. 移行完了後の後片付け</t>
        </is>
      </c>
    </row>
    <row r="2" ht="4" customHeight="1"/>
    <row r="3" ht="31" customHeight="1">
      <c r="D3" s="7" t="inlineStr">
        <is>
          <r>
            <rPr>
              <rFont val="ＭＳ Ｐゴシック"/>
              <color rgb="00000000"/>
              <sz val="10"/>
            </rPr>
            <t>本番切替後、切戻し期間（1 か月</t>
          </r>
          <r>
            <rPr>
              <rFont val="ＭＳ Ｐゴシック"/>
              <b val="1"/>
              <color rgb="00FF0000"/>
              <sz val="10"/>
            </rPr>
            <t>【要確認】</t>
          </r>
          <r>
            <rPr>
              <rFont val="ＭＳ Ｐゴシック"/>
              <color rgb="00000000"/>
              <sz val="10"/>
            </rPr>
            <t>）の終了をもって移行完了とし、一時資源の削除と定常運用への移行を行う。切戻しの可能性がある間は、復元に必要な資源（現行環境・基点スナップショット・ダンプ）を削除しない。</t>
          </r>
        </is>
      </c>
    </row>
    <row r="4" ht="20" customHeight="1">
      <c r="B4" s="19" t="inlineStr">
        <is>
          <t>9.1. 一時資源の削除</t>
        </is>
      </c>
      <c r="C4" s="20" t="n"/>
      <c r="D4" s="20" t="n"/>
      <c r="E4" s="20" t="n"/>
      <c r="F4" s="20" t="n"/>
      <c r="G4" s="20" t="n"/>
      <c r="H4" s="20" t="n"/>
      <c r="I4" s="20" t="n"/>
      <c r="J4" s="20" t="n"/>
      <c r="K4" s="20" t="n"/>
      <c r="L4" s="20" t="n"/>
      <c r="M4" s="20" t="n"/>
    </row>
    <row r="5" ht="17.5" customHeight="1">
      <c r="D5" s="8" t="inlineStr">
        <is>
          <t>No</t>
        </is>
      </c>
      <c r="E5" s="8" t="inlineStr">
        <is>
          <t>区分</t>
        </is>
      </c>
      <c r="F5" s="8" t="inlineStr">
        <is>
          <t>作業</t>
        </is>
      </c>
      <c r="G5" s="23" t="n"/>
      <c r="H5" s="23" t="n"/>
      <c r="I5" s="23" t="n"/>
      <c r="J5" s="22" t="n"/>
      <c r="K5" s="8" t="inlineStr">
        <is>
          <t>時期</t>
        </is>
      </c>
      <c r="L5" s="22" t="n"/>
      <c r="M5" s="8" t="inlineStr">
        <is>
          <t>備考</t>
        </is>
      </c>
    </row>
    <row r="6" ht="71.5" customHeight="1">
      <c r="D6" s="24" t="inlineStr">
        <is>
          <t>1</t>
        </is>
      </c>
      <c r="E6" s="10" t="inlineStr">
        <is>
          <t>S3</t>
        </is>
      </c>
      <c r="F6" s="10" t="inlineStr">
        <is>
          <t>diff/ のダンプ削除、full/ のダンプ削除、logs/ は移行結果報告書へ退避後に削除。移行用バケットの削除（日次バックアップ用バケットは別に運用）。ライフサイクルでの自動削除も併用</t>
        </is>
      </c>
      <c r="G6" s="23" t="n"/>
      <c r="H6" s="23" t="n"/>
      <c r="I6" s="23" t="n"/>
      <c r="J6" s="22" t="n"/>
      <c r="K6" s="10" t="inlineStr">
        <is>
          <t>切戻し期間終了後</t>
        </is>
      </c>
      <c r="L6" s="22" t="n"/>
      <c r="M6" s="10" t="inlineStr">
        <is>
          <t>S3 バージョニング無効のため削除は即時。削除前にオブジェクト一覧を記録</t>
        </is>
      </c>
    </row>
    <row r="7" ht="58" customHeight="1">
      <c r="D7" s="24" t="inlineStr">
        <is>
          <t>2</t>
        </is>
      </c>
      <c r="E7" s="10" t="inlineStr">
        <is>
          <t>RDS</t>
        </is>
      </c>
      <c r="F7" s="10" t="inlineStr">
        <is>
          <t>DATA_PUMP_DIR の残ファイル削除（listdir で確認）、ステージングスキーマ（&lt;schema&gt;_DIFF）の DROP、移行作業ユーザ（MIGADMIN）の削除、検証用インスタンス（icdbh01-verify）の削除（最終スナップショットなしで可）、基点スナップショットの削除（切替後スナップショットは保持）</t>
        </is>
      </c>
      <c r="G7" s="23" t="n"/>
      <c r="H7" s="23" t="n"/>
      <c r="I7" s="23" t="n"/>
      <c r="J7" s="22" t="n"/>
      <c r="K7" s="10" t="inlineStr">
        <is>
          <t>切替後 1～2 週間（検証用）／切戻し期間終了後（基点）</t>
        </is>
      </c>
      <c r="L7" s="22" t="n"/>
      <c r="M7" s="10" t="inlineStr">
        <is>
          <t>削除保護を一時解除して削除</t>
        </is>
      </c>
    </row>
    <row r="8" ht="31" customHeight="1">
      <c r="D8" s="24" t="inlineStr">
        <is>
          <t>3</t>
        </is>
      </c>
      <c r="E8" s="10" t="inlineStr">
        <is>
          <t>IAM</t>
        </is>
      </c>
      <c r="F8" s="10" t="inlineStr">
        <is>
          <t>新 AP/API サーバのロールから移行用バケットの権限を削除。RDS の S3 統合ロールは日次バックアップ用バケットのみに権限を絞る</t>
        </is>
      </c>
      <c r="G8" s="23" t="n"/>
      <c r="H8" s="23" t="n"/>
      <c r="I8" s="23" t="n"/>
      <c r="J8" s="22" t="n"/>
      <c r="K8" s="10" t="inlineStr">
        <is>
          <t>切戻し期間終了後</t>
        </is>
      </c>
      <c r="L8" s="22" t="n"/>
      <c r="M8" s="10" t="inlineStr"/>
    </row>
    <row r="9" ht="44.5" customHeight="1">
      <c r="D9" s="24" t="inlineStr">
        <is>
          <t>4</t>
        </is>
      </c>
      <c r="E9" s="10" t="inlineStr">
        <is>
          <t>新 AP/API サーバ</t>
        </is>
      </c>
      <c r="F9" s="10" t="inlineStr">
        <is>
          <t>中継領域のダンプ削除、一時 EBS のデタッチ・削除、LEGACY 暗号ポリシーを DEFAULT へ戻す、現行サーバ用 ssh 鍵の削除、移行スクリプトは運用用（日次 Data Pump 等）を除き退避</t>
        </is>
      </c>
      <c r="G9" s="23" t="n"/>
      <c r="H9" s="23" t="n"/>
      <c r="I9" s="23" t="n"/>
      <c r="J9" s="22" t="n"/>
      <c r="K9" s="10" t="inlineStr">
        <is>
          <t>切替後（暗号ポリシー・鍵は即時）／切戻し期間終了後（EBS）</t>
        </is>
      </c>
      <c r="L9" s="22" t="n"/>
      <c r="M9" s="10" t="inlineStr"/>
    </row>
    <row r="10" ht="31" customHeight="1">
      <c r="D10" s="24" t="inlineStr">
        <is>
          <t>5</t>
        </is>
      </c>
      <c r="E10" s="10" t="inlineStr">
        <is>
          <t>現行 EC2</t>
        </is>
      </c>
      <c r="F10" s="10" t="inlineStr">
        <is>
          <t>一時 EBS のデタッチ・削除、現行環境の停止保持→廃止（最終 AMI を取得して EC2・EBS を削除）</t>
        </is>
      </c>
      <c r="G10" s="23" t="n"/>
      <c r="H10" s="23" t="n"/>
      <c r="I10" s="23" t="n"/>
      <c r="J10" s="22" t="n"/>
      <c r="K10" s="10" t="inlineStr">
        <is>
          <t>切戻し期間終了後</t>
        </is>
      </c>
      <c r="L10" s="22" t="n"/>
      <c r="M10" s="10" t="inlineStr">
        <is>
          <t>移行仕様書 A.7 に従う</t>
        </is>
      </c>
    </row>
    <row r="11" ht="31" customHeight="1">
      <c r="D11" s="24" t="inlineStr">
        <is>
          <t>6</t>
        </is>
      </c>
      <c r="E11" s="10" t="inlineStr">
        <is>
          <t>ネットワーク</t>
        </is>
      </c>
      <c r="F11" s="10" t="inlineStr">
        <is>
          <t>現行 DB サーバ SG の TCP 22 許可の削除、現行 VPC 廃止時に VPC Peering・ルートを削除</t>
        </is>
      </c>
      <c r="G11" s="23" t="n"/>
      <c r="H11" s="23" t="n"/>
      <c r="I11" s="23" t="n"/>
      <c r="J11" s="22" t="n"/>
      <c r="K11" s="10" t="inlineStr">
        <is>
          <t>切替後（SG）／現行廃止時（Peering）</t>
        </is>
      </c>
      <c r="L11" s="22" t="n"/>
      <c r="M11" s="10" t="inlineStr"/>
    </row>
    <row r="12" ht="31" customHeight="1">
      <c r="D12" s="24" t="inlineStr">
        <is>
          <t>7</t>
        </is>
      </c>
      <c r="E12" s="10" t="inlineStr">
        <is>
          <t>現行 DB</t>
        </is>
      </c>
      <c r="F12" s="10" t="inlineStr">
        <is>
          <t>作業ユーザ（MIGADMIN）・DPUMP_MIG の削除（現行を再稼働させない場合は不要）</t>
        </is>
      </c>
      <c r="G12" s="23" t="n"/>
      <c r="H12" s="23" t="n"/>
      <c r="I12" s="23" t="n"/>
      <c r="J12" s="22" t="n"/>
      <c r="K12" s="10" t="inlineStr">
        <is>
          <t>－</t>
        </is>
      </c>
      <c r="L12" s="22" t="n"/>
      <c r="M12" s="10" t="inlineStr"/>
    </row>
    <row r="13" ht="6" customHeight="1"/>
    <row r="14" ht="20" customHeight="1">
      <c r="B14" s="19" t="inlineStr">
        <is>
          <t>9.2. RDS の監視・運用設定</t>
        </is>
      </c>
      <c r="C14" s="20" t="n"/>
      <c r="D14" s="20" t="n"/>
      <c r="E14" s="20" t="n"/>
      <c r="F14" s="20" t="n"/>
      <c r="G14" s="20" t="n"/>
      <c r="H14" s="20" t="n"/>
      <c r="I14" s="20" t="n"/>
      <c r="J14" s="20" t="n"/>
      <c r="K14" s="20" t="n"/>
      <c r="L14" s="20" t="n"/>
      <c r="M14" s="20" t="n"/>
    </row>
    <row r="15" ht="16" customHeight="1">
      <c r="D15" s="21" t="inlineStr">
        <is>
          <t>表 9-1　RDS 監視設定</t>
        </is>
      </c>
    </row>
    <row r="16" ht="17.5" customHeight="1">
      <c r="D16" s="8" t="inlineStr">
        <is>
          <t>項目</t>
        </is>
      </c>
      <c r="E16" s="22" t="n"/>
      <c r="F16" s="8" t="inlineStr">
        <is>
          <t>設定</t>
        </is>
      </c>
      <c r="G16" s="23" t="n"/>
      <c r="H16" s="23" t="n"/>
      <c r="I16" s="22" t="n"/>
      <c r="J16" s="8" t="inlineStr">
        <is>
          <t>しきい値（案）</t>
        </is>
      </c>
      <c r="K16" s="22" t="n"/>
      <c r="L16" s="8" t="inlineStr">
        <is>
          <t>備考</t>
        </is>
      </c>
      <c r="M16" s="22" t="n"/>
    </row>
    <row r="17" ht="58" customHeight="1">
      <c r="D17" s="10" t="inlineStr">
        <is>
          <t>CloudWatch アラーム</t>
        </is>
      </c>
      <c r="E17" s="22" t="n"/>
      <c r="F17" s="10" t="inlineStr">
        <is>
          <t>CPUUtilization、FreeStorageSpace、FreeableMemory、ReadLatency／WriteLatency、ReadIOPS／WriteIOPS、DatabaseConnections、DiskQueueDepth、BurstBalance（該当時）、SwapUsage</t>
        </is>
      </c>
      <c r="G17" s="23" t="n"/>
      <c r="H17" s="23" t="n"/>
      <c r="I17" s="22" t="n"/>
      <c r="J17" s="10" t="inlineStr">
        <is>
          <r>
            <rPr>
              <rFont val="ＭＳ Ｐゴシック"/>
              <color rgb="00000000"/>
              <sz val="10"/>
            </rPr>
            <t>CPU 80%（15 分）、空き容量 15%／100GB、接続数 processes の 80%、レイテンシ 20ms</t>
          </r>
          <r>
            <rPr>
              <rFont val="ＭＳ Ｐゴシック"/>
              <b val="1"/>
              <color rgb="00FF0000"/>
              <sz val="10"/>
            </rPr>
            <t>【要確認】</t>
          </r>
        </is>
      </c>
      <c r="K17" s="22" t="n"/>
      <c r="L17" s="10" t="inlineStr">
        <is>
          <r>
            <rPr>
              <rFont val="ＭＳ Ｐゴシック"/>
              <color rgb="00000000"/>
              <sz val="10"/>
            </rPr>
            <t>SNS → 運用連絡先（Tivoli 連携方式は</t>
          </r>
          <r>
            <rPr>
              <rFont val="ＭＳ Ｐゴシック"/>
              <b val="1"/>
              <color rgb="00FF0000"/>
              <sz val="10"/>
            </rPr>
            <t>【要確認】</t>
          </r>
          <r>
            <rPr>
              <rFont val="ＭＳ Ｐゴシック"/>
              <color rgb="00000000"/>
              <sz val="10"/>
            </rPr>
            <t>）</t>
          </r>
        </is>
      </c>
      <c r="M17" s="22" t="n"/>
    </row>
    <row r="18" ht="17.5" customHeight="1">
      <c r="D18" s="10" t="inlineStr">
        <is>
          <t>拡張モニタリング</t>
        </is>
      </c>
      <c r="E18" s="22" t="n"/>
      <c r="F18" s="10" t="inlineStr">
        <is>
          <t>有効（60 秒）</t>
        </is>
      </c>
      <c r="G18" s="23" t="n"/>
      <c r="H18" s="23" t="n"/>
      <c r="I18" s="22" t="n"/>
      <c r="J18" s="10" t="inlineStr">
        <is>
          <t>－</t>
        </is>
      </c>
      <c r="K18" s="22" t="n"/>
      <c r="L18" s="10" t="inlineStr">
        <is>
          <t>OS レベルのメトリクス</t>
        </is>
      </c>
      <c r="M18" s="22" t="n"/>
    </row>
    <row r="19" ht="17.5" customHeight="1">
      <c r="D19" s="10" t="inlineStr">
        <is>
          <t>Performance Insights</t>
        </is>
      </c>
      <c r="E19" s="22" t="n"/>
      <c r="F19" s="10" t="inlineStr">
        <is>
          <t>有効（保持 7 日、必要に応じて延長）</t>
        </is>
      </c>
      <c r="G19" s="23" t="n"/>
      <c r="H19" s="23" t="n"/>
      <c r="I19" s="22" t="n"/>
      <c r="J19" s="10" t="inlineStr">
        <is>
          <t>－</t>
        </is>
      </c>
      <c r="K19" s="22" t="n"/>
      <c r="L19" s="10" t="inlineStr">
        <is>
          <t>SQL 単位の負荷分析</t>
        </is>
      </c>
      <c r="M19" s="22" t="n"/>
    </row>
    <row r="20" ht="31" customHeight="1">
      <c r="D20" s="10" t="inlineStr">
        <is>
          <t>イベントサブスクリプション</t>
        </is>
      </c>
      <c r="E20" s="22" t="n"/>
      <c r="F20" s="10" t="inlineStr">
        <is>
          <t>availability、backup、configuration change、failure、low storage、maintenance、recovery</t>
        </is>
      </c>
      <c r="G20" s="23" t="n"/>
      <c r="H20" s="23" t="n"/>
      <c r="I20" s="22" t="n"/>
      <c r="J20" s="10" t="inlineStr">
        <is>
          <t>－</t>
        </is>
      </c>
      <c r="K20" s="22" t="n"/>
      <c r="L20" s="10" t="inlineStr">
        <is>
          <t>SNS 通知</t>
        </is>
      </c>
      <c r="M20" s="22" t="n"/>
    </row>
    <row r="21" ht="31" customHeight="1">
      <c r="D21" s="10" t="inlineStr">
        <is>
          <t>ログ</t>
        </is>
      </c>
      <c r="E21" s="22" t="n"/>
      <c r="F21" s="10" t="inlineStr">
        <is>
          <r>
            <rPr>
              <rFont val="ＭＳ Ｐゴシック"/>
              <color rgb="00000000"/>
              <sz val="10"/>
            </rPr>
            <t>alert／listener／audit／trace を CloudWatch Logs へエクスポート。保持期間</t>
          </r>
          <r>
            <rPr>
              <rFont val="ＭＳ Ｐゴシック"/>
              <b val="1"/>
              <color rgb="00FF0000"/>
              <sz val="10"/>
            </rPr>
            <t>【要確認】</t>
          </r>
        </is>
      </c>
      <c r="G21" s="23" t="n"/>
      <c r="H21" s="23" t="n"/>
      <c r="I21" s="22" t="n"/>
      <c r="J21" s="10" t="inlineStr">
        <is>
          <t>－</t>
        </is>
      </c>
      <c r="K21" s="22" t="n"/>
      <c r="L21" s="10" t="inlineStr">
        <is>
          <t>メトリクスフィルタで ORA- エラーを検知</t>
        </is>
      </c>
      <c r="M21" s="22" t="n"/>
    </row>
    <row r="22" ht="44.5" customHeight="1">
      <c r="D22" s="10" t="inlineStr">
        <is>
          <t>バックアップ</t>
        </is>
      </c>
      <c r="E22" s="22" t="n"/>
      <c r="F22" s="10" t="inlineStr">
        <is>
          <t>自動バックアップ 7 日、週次手動スナップショット 2 世代、日次 Data Pump→S3 7 世代（S3 統合オプションを継続利用）</t>
        </is>
      </c>
      <c r="G22" s="23" t="n"/>
      <c r="H22" s="23" t="n"/>
      <c r="I22" s="22" t="n"/>
      <c r="J22" s="10" t="inlineStr">
        <is>
          <t>－</t>
        </is>
      </c>
      <c r="K22" s="22" t="n"/>
      <c r="L22" s="10" t="inlineStr">
        <is>
          <t>移行仕様書 3.2.6</t>
        </is>
      </c>
      <c r="M22" s="22" t="n"/>
    </row>
    <row r="23" ht="31" customHeight="1">
      <c r="D23" s="10" t="inlineStr">
        <is>
          <t>メンテナンス</t>
        </is>
      </c>
      <c r="E23" s="22" t="n"/>
      <c r="F23" s="10" t="inlineStr">
        <is>
          <r>
            <rPr>
              <rFont val="ＭＳ Ｐゴシック"/>
              <color rgb="00000000"/>
              <sz val="10"/>
            </rPr>
            <t>メンテナンスウィンドウ（計画保守時間との整合）、マイナーバージョン自動アップグレード方針</t>
          </r>
          <r>
            <rPr>
              <rFont val="ＭＳ Ｐゴシック"/>
              <b val="1"/>
              <color rgb="00FF0000"/>
              <sz val="10"/>
            </rPr>
            <t>【要確認】</t>
          </r>
        </is>
      </c>
      <c r="G23" s="23" t="n"/>
      <c r="H23" s="23" t="n"/>
      <c r="I23" s="22" t="n"/>
      <c r="J23" s="10" t="inlineStr">
        <is>
          <t>－</t>
        </is>
      </c>
      <c r="K23" s="22" t="n"/>
      <c r="L23" s="10" t="inlineStr"/>
      <c r="M23" s="22" t="n"/>
    </row>
    <row r="24" ht="31" customHeight="1">
      <c r="D24" s="10" t="inlineStr">
        <is>
          <t>保護</t>
        </is>
      </c>
      <c r="E24" s="22" t="n"/>
      <c r="F24" s="10" t="inlineStr">
        <is>
          <t>削除保護 有効、ストレージ自動スケーリング（上限）、パラメータ変更の変更管理</t>
        </is>
      </c>
      <c r="G24" s="23" t="n"/>
      <c r="H24" s="23" t="n"/>
      <c r="I24" s="22" t="n"/>
      <c r="J24" s="10" t="inlineStr">
        <is>
          <t>－</t>
        </is>
      </c>
      <c r="K24" s="22" t="n"/>
      <c r="L24" s="10" t="inlineStr"/>
      <c r="M24" s="22" t="n"/>
    </row>
    <row r="25" ht="31" customHeight="1">
      <c r="D25" s="10" t="inlineStr">
        <is>
          <t>ジョブ</t>
        </is>
      </c>
      <c r="E25" s="22" t="n"/>
      <c r="F25" s="10" t="inlineStr">
        <is>
          <t>DBMS_SCHEDULER ジョブの有効化状態、job_queue_processes の本番値</t>
        </is>
      </c>
      <c r="G25" s="23" t="n"/>
      <c r="H25" s="23" t="n"/>
      <c r="I25" s="22" t="n"/>
      <c r="J25" s="10" t="inlineStr">
        <is>
          <t>－</t>
        </is>
      </c>
      <c r="K25" s="22" t="n"/>
      <c r="L25" s="10" t="inlineStr">
        <is>
          <t>5.9 で有効化済みであること</t>
        </is>
      </c>
      <c r="M25" s="22" t="n"/>
    </row>
    <row r="26" ht="31" customHeight="1">
      <c r="D26" s="10" t="inlineStr">
        <is>
          <t>統計・領域</t>
        </is>
      </c>
      <c r="E26" s="22" t="n"/>
      <c r="F26" s="10" t="inlineStr">
        <is>
          <t>週次の統計取得ジョブ、表領域使用率の監視（dba_tablespace_usage_metrics）</t>
        </is>
      </c>
      <c r="G26" s="23" t="n"/>
      <c r="H26" s="23" t="n"/>
      <c r="I26" s="22" t="n"/>
      <c r="J26" s="10" t="inlineStr">
        <is>
          <t>使用率 85%</t>
        </is>
      </c>
      <c r="K26" s="22" t="n"/>
      <c r="L26" s="10" t="inlineStr"/>
      <c r="M26" s="22" t="n"/>
    </row>
    <row r="27" ht="6" customHeight="1"/>
    <row r="28" ht="20" customHeight="1">
      <c r="B28" s="19" t="inlineStr">
        <is>
          <t>9.3. 文書・引継ぎ</t>
        </is>
      </c>
      <c r="C28" s="20" t="n"/>
      <c r="D28" s="20" t="n"/>
      <c r="E28" s="20" t="n"/>
      <c r="F28" s="20" t="n"/>
      <c r="G28" s="20" t="n"/>
      <c r="H28" s="20" t="n"/>
      <c r="I28" s="20" t="n"/>
      <c r="J28" s="20" t="n"/>
      <c r="K28" s="20" t="n"/>
      <c r="L28" s="20" t="n"/>
      <c r="M28" s="20" t="n"/>
    </row>
    <row r="29" ht="17.5" customHeight="1">
      <c r="D29" s="7" t="inlineStr">
        <is>
          <t>・移行結果報告書（実施記録、所要時間、突合結果、発生事象と対処、残課題）を作成し、関係者へ報告する。</t>
        </is>
      </c>
    </row>
    <row r="30" ht="17.5" customHeight="1">
      <c r="D30" s="7" t="inlineStr">
        <is>
          <t>・環境定義書・RDS パラメータシート・運用手順書（起動停止、バックアップ、スナップショット運用、監視対応）を最終状態で更新する。</t>
        </is>
      </c>
    </row>
    <row r="31" ht="17.5" customHeight="1">
      <c r="D31" s="7" t="inlineStr">
        <is>
          <r>
            <rPr>
              <rFont val="ＭＳ Ｐゴシック"/>
              <color rgb="00000000"/>
              <sz val="10"/>
            </rPr>
            <t>・10 章の</t>
          </r>
          <r>
            <rPr>
              <rFont val="ＭＳ Ｐゴシック"/>
              <b val="1"/>
              <color rgb="00FF0000"/>
              <sz val="10"/>
            </rPr>
            <t>【要確認】</t>
          </r>
          <r>
            <rPr>
              <rFont val="ＭＳ Ｐゴシック"/>
              <color rgb="00000000"/>
              <sz val="10"/>
            </rPr>
            <t>事項をクローズし、本文書を最終版（ver2）として改版する。</t>
          </r>
        </is>
      </c>
    </row>
    <row r="32" ht="17.5" customHeight="1">
      <c r="D32" s="7" t="inlineStr">
        <is>
          <t>・運用部門への引継ぎ（移行仕様書 1.2 の管理方針に従う）。</t>
        </is>
      </c>
    </row>
  </sheetData>
  <mergeCells count="69">
    <mergeCell ref="L17:M17"/>
    <mergeCell ref="D20:E20"/>
    <mergeCell ref="F11:J11"/>
    <mergeCell ref="L16:M16"/>
    <mergeCell ref="D19:E19"/>
    <mergeCell ref="D3:M3"/>
    <mergeCell ref="F10:J10"/>
    <mergeCell ref="K9:L9"/>
    <mergeCell ref="B14:M14"/>
    <mergeCell ref="K5:L5"/>
    <mergeCell ref="J19:K19"/>
    <mergeCell ref="D30:M30"/>
    <mergeCell ref="L19:M19"/>
    <mergeCell ref="D22:E22"/>
    <mergeCell ref="F6:J6"/>
    <mergeCell ref="B1:M1"/>
    <mergeCell ref="D21:E21"/>
    <mergeCell ref="D29:M29"/>
    <mergeCell ref="F7:J7"/>
    <mergeCell ref="K11:L11"/>
    <mergeCell ref="B28:M28"/>
    <mergeCell ref="F12:J12"/>
    <mergeCell ref="J24:K24"/>
    <mergeCell ref="L24:M24"/>
    <mergeCell ref="L18:M18"/>
    <mergeCell ref="F5:J5"/>
    <mergeCell ref="F16:I16"/>
    <mergeCell ref="L23:M23"/>
    <mergeCell ref="F19:I19"/>
    <mergeCell ref="F25:I25"/>
    <mergeCell ref="D17:E17"/>
    <mergeCell ref="F8:J8"/>
    <mergeCell ref="J26:K26"/>
    <mergeCell ref="L26:M26"/>
    <mergeCell ref="D16:E16"/>
    <mergeCell ref="J20:K20"/>
    <mergeCell ref="K12:L12"/>
    <mergeCell ref="D31:M31"/>
    <mergeCell ref="L20:M20"/>
    <mergeCell ref="K8:L8"/>
    <mergeCell ref="J16:K16"/>
    <mergeCell ref="J25:K25"/>
    <mergeCell ref="F24:I24"/>
    <mergeCell ref="L25:M25"/>
    <mergeCell ref="F21:I21"/>
    <mergeCell ref="D18:E18"/>
    <mergeCell ref="F20:I20"/>
    <mergeCell ref="B4:M4"/>
    <mergeCell ref="J22:K22"/>
    <mergeCell ref="L22:M22"/>
    <mergeCell ref="D25:E25"/>
    <mergeCell ref="F9:J9"/>
    <mergeCell ref="F18:I18"/>
    <mergeCell ref="K7:L7"/>
    <mergeCell ref="J21:K21"/>
    <mergeCell ref="F26:I26"/>
    <mergeCell ref="L21:M21"/>
    <mergeCell ref="F17:I17"/>
    <mergeCell ref="D24:E24"/>
    <mergeCell ref="D32:M32"/>
    <mergeCell ref="K10:L10"/>
    <mergeCell ref="D23:E23"/>
    <mergeCell ref="J18:K18"/>
    <mergeCell ref="J23:K23"/>
    <mergeCell ref="K6:L6"/>
    <mergeCell ref="F23:I23"/>
    <mergeCell ref="D26:E26"/>
    <mergeCell ref="J17:K17"/>
    <mergeCell ref="F22:I22"/>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B1:M35"/>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10. 課題・要確認事項</t>
        </is>
      </c>
    </row>
    <row r="2" ht="4" customHeight="1"/>
    <row r="3" ht="17.5" customHeight="1">
      <c r="D3" s="7" t="inlineStr">
        <is>
          <r>
            <rPr>
              <rFont val="ＭＳ Ｐゴシック"/>
              <color rgb="00000000"/>
              <sz val="10"/>
            </rPr>
            <t>本文中の</t>
          </r>
          <r>
            <rPr>
              <rFont val="ＭＳ Ｐゴシック"/>
              <b val="1"/>
              <color rgb="00FF0000"/>
              <sz val="10"/>
            </rPr>
            <t>【要確認】</t>
          </r>
          <r>
            <rPr>
              <rFont val="ＭＳ Ｐゴシック"/>
              <color rgb="00000000"/>
              <sz val="10"/>
            </rPr>
            <t>事項を集約する。担当・期限を定めて確定し、確定後は本文を更新して本表のステータスを「完了」にする。</t>
          </r>
        </is>
      </c>
    </row>
    <row r="4" ht="16" customHeight="1">
      <c r="D4" s="21" t="inlineStr">
        <is>
          <t>表 10-1　要確認事項一覧</t>
        </is>
      </c>
    </row>
    <row r="5" ht="17.5" customHeight="1">
      <c r="D5" s="8" t="inlineStr">
        <is>
          <t>No</t>
        </is>
      </c>
      <c r="E5" s="8" t="inlineStr">
        <is>
          <t>要確認事項</t>
        </is>
      </c>
      <c r="F5" s="23" t="n"/>
      <c r="G5" s="22" t="n"/>
      <c r="H5" s="8" t="inlineStr">
        <is>
          <t>参照</t>
        </is>
      </c>
      <c r="I5" s="8" t="inlineStr">
        <is>
          <t>確定方法・暫定案</t>
        </is>
      </c>
      <c r="J5" s="22" t="n"/>
      <c r="K5" s="8" t="inlineStr">
        <is>
          <t>担当</t>
        </is>
      </c>
      <c r="L5" s="8" t="inlineStr">
        <is>
          <t>期限</t>
        </is>
      </c>
      <c r="M5" s="8" t="inlineStr">
        <is>
          <t>状態</t>
        </is>
      </c>
    </row>
    <row r="6" ht="31" customHeight="1">
      <c r="D6" s="24" t="inlineStr">
        <is>
          <t>1</t>
        </is>
      </c>
      <c r="E6" s="10" t="inlineStr">
        <is>
          <t>移行対象スキーマ一覧（処理用DB・統合顧客DB の全スキーマ名）の確定</t>
        </is>
      </c>
      <c r="F6" s="23" t="n"/>
      <c r="G6" s="22" t="n"/>
      <c r="H6" s="10" t="inlineStr">
        <is>
          <t>1.2／3.1</t>
        </is>
      </c>
      <c r="I6" s="10" t="inlineStr">
        <is>
          <t>事前調査（dba_users）で確定し、付録B に反映</t>
        </is>
      </c>
      <c r="J6" s="22" t="n"/>
      <c r="K6" s="10" t="inlineStr">
        <is>
          <t>（記入）</t>
        </is>
      </c>
      <c r="L6" s="24" t="inlineStr">
        <is>
          <t>（記入）</t>
        </is>
      </c>
      <c r="M6" s="24" t="inlineStr">
        <is>
          <t>未着手</t>
        </is>
      </c>
    </row>
    <row r="7" ht="58" customHeight="1">
      <c r="D7" s="24" t="inlineStr">
        <is>
          <t>2</t>
        </is>
      </c>
      <c r="E7" s="10" t="inlineStr">
        <is>
          <t>データ量 1.3TB の実測（スキーマ別・表別）と一時 EBS／中継領域／RDS ストレージ（約 2,000GB）・取込バッチ容量（300GB）の確定</t>
        </is>
      </c>
      <c r="F7" s="23" t="n"/>
      <c r="G7" s="22" t="n"/>
      <c r="H7" s="10" t="inlineStr">
        <is>
          <t>1.3／3.2.1／3.5</t>
        </is>
      </c>
      <c r="I7" s="10" t="inlineStr">
        <is>
          <t>事前調査 No.4 の結果で確定</t>
        </is>
      </c>
      <c r="J7" s="22" t="n"/>
      <c r="K7" s="10" t="inlineStr">
        <is>
          <t>（記入）</t>
        </is>
      </c>
      <c r="L7" s="24" t="inlineStr">
        <is>
          <t>（記入）</t>
        </is>
      </c>
      <c r="M7" s="24" t="inlineStr">
        <is>
          <t>未着手</t>
        </is>
      </c>
    </row>
    <row r="8" ht="31" customHeight="1">
      <c r="D8" s="24" t="inlineStr">
        <is>
          <t>3</t>
        </is>
      </c>
      <c r="E8" s="10" t="inlineStr">
        <is>
          <t>Advanced Compression オプションのライセンス有無（COMPRESSION=ALL の可否）</t>
        </is>
      </c>
      <c r="F8" s="23" t="n"/>
      <c r="G8" s="22" t="n"/>
      <c r="H8" s="10" t="inlineStr">
        <is>
          <t>1.3／4.1</t>
        </is>
      </c>
      <c r="I8" s="10" t="inlineStr">
        <is>
          <t>未確認の間は METADATA_ONLY</t>
        </is>
      </c>
      <c r="J8" s="22" t="n"/>
      <c r="K8" s="10" t="inlineStr">
        <is>
          <t>（記入）</t>
        </is>
      </c>
      <c r="L8" s="24" t="inlineStr">
        <is>
          <t>（記入）</t>
        </is>
      </c>
      <c r="M8" s="24" t="inlineStr">
        <is>
          <t>未着手</t>
        </is>
      </c>
    </row>
    <row r="9" ht="44.5" customHeight="1">
      <c r="D9" s="24" t="inlineStr">
        <is>
          <t>4</t>
        </is>
      </c>
      <c r="E9" s="10" t="inlineStr">
        <is>
          <t>RDS のエンジンバージョン（RU）、インスタンスクラス、マスタユーザ名、DB 名（SID）／サービス名</t>
        </is>
      </c>
      <c r="F9" s="23" t="n"/>
      <c r="G9" s="22" t="n"/>
      <c r="H9" s="10" t="inlineStr">
        <is>
          <t>3.2.1</t>
        </is>
      </c>
      <c r="I9" s="10" t="inlineStr">
        <is>
          <t>移行仕様書 課題 No.2・8 と整合させる</t>
        </is>
      </c>
      <c r="J9" s="22" t="n"/>
      <c r="K9" s="10" t="inlineStr">
        <is>
          <t>（記入）</t>
        </is>
      </c>
      <c r="L9" s="24" t="inlineStr">
        <is>
          <t>（記入）</t>
        </is>
      </c>
      <c r="M9" s="24" t="inlineStr">
        <is>
          <t>未着手</t>
        </is>
      </c>
    </row>
    <row r="10" ht="58" customHeight="1">
      <c r="D10" s="24" t="inlineStr">
        <is>
          <t>5</t>
        </is>
      </c>
      <c r="E10" s="10" t="inlineStr">
        <is>
          <t>RDS パラメータグループ値（processes、nls_length_semantics、deferred_segment_creation、allowed_logon_version_server 等）</t>
        </is>
      </c>
      <c r="F10" s="23" t="n"/>
      <c r="G10" s="22" t="n"/>
      <c r="H10" s="10" t="inlineStr">
        <is>
          <t>3.2.2</t>
        </is>
      </c>
      <c r="I10" s="10" t="inlineStr">
        <is>
          <t>事前調査 No.12 の非デフォルト値から決定</t>
        </is>
      </c>
      <c r="J10" s="22" t="n"/>
      <c r="K10" s="10" t="inlineStr">
        <is>
          <t>（記入）</t>
        </is>
      </c>
      <c r="L10" s="24" t="inlineStr">
        <is>
          <t>（記入）</t>
        </is>
      </c>
      <c r="M10" s="24" t="inlineStr">
        <is>
          <t>未着手</t>
        </is>
      </c>
    </row>
    <row r="11" ht="31" customHeight="1">
      <c r="D11" s="24" t="inlineStr">
        <is>
          <t>6</t>
        </is>
      </c>
      <c r="E11" s="10" t="inlineStr">
        <is>
          <t>S3 バケット名・IAM ロール名・KMS キー・VPC Peering の有無と ID</t>
        </is>
      </c>
      <c r="F11" s="23" t="n"/>
      <c r="G11" s="22" t="n"/>
      <c r="H11" s="10" t="inlineStr">
        <is>
          <t>3.2.3／3.2.4</t>
        </is>
      </c>
      <c r="I11" s="10" t="inlineStr">
        <is>
          <t>AWS 環境定義書で確定</t>
        </is>
      </c>
      <c r="J11" s="22" t="n"/>
      <c r="K11" s="10" t="inlineStr">
        <is>
          <t>（記入）</t>
        </is>
      </c>
      <c r="L11" s="24" t="inlineStr">
        <is>
          <t>（記入）</t>
        </is>
      </c>
      <c r="M11" s="24" t="inlineStr">
        <is>
          <t>未着手</t>
        </is>
      </c>
    </row>
    <row r="12" ht="31" customHeight="1">
      <c r="D12" s="24" t="inlineStr">
        <is>
          <t>7</t>
        </is>
      </c>
      <c r="E12" s="10" t="inlineStr">
        <is>
          <t>現行 EC2 への一時 EBS 追加（旧カーネルでのデバイス認識・ext3）の事前テスト</t>
        </is>
      </c>
      <c r="F12" s="23" t="n"/>
      <c r="G12" s="22" t="n"/>
      <c r="H12" s="10" t="inlineStr">
        <is>
          <t>3.3</t>
        </is>
      </c>
      <c r="I12" s="10" t="inlineStr">
        <is>
          <t>開発環境相当の RHEL 5.4 で検証</t>
        </is>
      </c>
      <c r="J12" s="22" t="n"/>
      <c r="K12" s="10" t="inlineStr">
        <is>
          <t>（記入）</t>
        </is>
      </c>
      <c r="L12" s="24" t="inlineStr">
        <is>
          <t>（記入）</t>
        </is>
      </c>
      <c r="M12" s="24" t="inlineStr">
        <is>
          <t>未着手</t>
        </is>
      </c>
    </row>
    <row r="13" ht="31" customHeight="1">
      <c r="D13" s="24" t="inlineStr">
        <is>
          <t>8</t>
        </is>
      </c>
      <c r="E13" s="10" t="inlineStr">
        <is>
          <t>新 AP/API サーバの中継領域（/disk3 300GB では不足、一時 EBS 2TB 追加）</t>
        </is>
      </c>
      <c r="F13" s="23" t="n"/>
      <c r="G13" s="22" t="n"/>
      <c r="H13" s="10" t="inlineStr">
        <is>
          <t>3.3</t>
        </is>
      </c>
      <c r="I13" s="10" t="inlineStr">
        <is>
          <t>移行仕様書のディスク設計との整合</t>
        </is>
      </c>
      <c r="J13" s="22" t="n"/>
      <c r="K13" s="10" t="inlineStr">
        <is>
          <t>（記入）</t>
        </is>
      </c>
      <c r="L13" s="24" t="inlineStr">
        <is>
          <t>（記入）</t>
        </is>
      </c>
      <c r="M13" s="24" t="inlineStr">
        <is>
          <t>未着手</t>
        </is>
      </c>
    </row>
    <row r="14" ht="31" customHeight="1">
      <c r="D14" s="24" t="inlineStr">
        <is>
          <t>9</t>
        </is>
      </c>
      <c r="E14" s="10" t="inlineStr">
        <is>
          <t>現行 UNDO 設定（undo_retention、UNDO 表領域）の変更可否と値</t>
        </is>
      </c>
      <c r="F14" s="23" t="n"/>
      <c r="G14" s="22" t="n"/>
      <c r="H14" s="10" t="inlineStr">
        <is>
          <t>3.3／4.1</t>
        </is>
      </c>
      <c r="I14" s="10" t="inlineStr">
        <is>
          <t>全量エクスポート所要時間の見積り後に決定</t>
        </is>
      </c>
      <c r="J14" s="22" t="n"/>
      <c r="K14" s="10" t="inlineStr">
        <is>
          <t>（記入）</t>
        </is>
      </c>
      <c r="L14" s="24" t="inlineStr">
        <is>
          <t>（記入）</t>
        </is>
      </c>
      <c r="M14" s="24" t="inlineStr">
        <is>
          <t>未着手</t>
        </is>
      </c>
    </row>
    <row r="15" ht="44.5" customHeight="1">
      <c r="D15" s="24" t="inlineStr">
        <is>
          <t>10</t>
        </is>
      </c>
      <c r="E15" s="10" t="inlineStr">
        <is>
          <t>RDS のユーザ事前作成時のパスワード方針（11g ハッシュを持ち込まず再設定）と allowed_logon_version_server</t>
        </is>
      </c>
      <c r="F15" s="23" t="n"/>
      <c r="G15" s="22" t="n"/>
      <c r="H15" s="10" t="inlineStr">
        <is>
          <t>3.3／6.4</t>
        </is>
      </c>
      <c r="I15" s="10" t="inlineStr">
        <is>
          <t>アプリ側の接続設定変更と合わせて決定</t>
        </is>
      </c>
      <c r="J15" s="22" t="n"/>
      <c r="K15" s="10" t="inlineStr">
        <is>
          <t>（記入）</t>
        </is>
      </c>
      <c r="L15" s="24" t="inlineStr">
        <is>
          <t>（記入）</t>
        </is>
      </c>
      <c r="M15" s="24" t="inlineStr">
        <is>
          <t>未着手</t>
        </is>
      </c>
    </row>
    <row r="16" ht="44.5" customHeight="1">
      <c r="D16" s="24" t="inlineStr">
        <is>
          <t>11</t>
        </is>
      </c>
      <c r="E16" s="10" t="inlineStr">
        <is>
          <t>検証期間中の DBMS_SCHEDULER ジョブ抑止方法（job_queue_processes=0 か個別 DISABLE か）</t>
        </is>
      </c>
      <c r="F16" s="23" t="n"/>
      <c r="G16" s="22" t="n"/>
      <c r="H16" s="10" t="inlineStr">
        <is>
          <t>3.3</t>
        </is>
      </c>
      <c r="I16" s="10" t="inlineStr">
        <is>
          <t>ジョブ一覧（事前調査 No.9）で判断</t>
        </is>
      </c>
      <c r="J16" s="22" t="n"/>
      <c r="K16" s="10" t="inlineStr">
        <is>
          <t>（記入）</t>
        </is>
      </c>
      <c r="L16" s="24" t="inlineStr">
        <is>
          <t>（記入）</t>
        </is>
      </c>
      <c r="M16" s="24" t="inlineStr">
        <is>
          <t>未着手</t>
        </is>
      </c>
    </row>
    <row r="17" ht="31" customHeight="1">
      <c r="D17" s="24" t="inlineStr">
        <is>
          <t>12</t>
        </is>
      </c>
      <c r="E17" s="10" t="inlineStr">
        <is>
          <t>移行スクリプトの版管理（sys_renewal リポジトリへの格納）</t>
        </is>
      </c>
      <c r="F17" s="23" t="n"/>
      <c r="G17" s="22" t="n"/>
      <c r="H17" s="10" t="inlineStr">
        <is>
          <t>3.4</t>
        </is>
      </c>
      <c r="I17" s="10" t="inlineStr"/>
      <c r="J17" s="22" t="n"/>
      <c r="K17" s="10" t="inlineStr">
        <is>
          <t>（記入）</t>
        </is>
      </c>
      <c r="L17" s="24" t="inlineStr">
        <is>
          <t>（記入）</t>
        </is>
      </c>
      <c r="M17" s="24" t="inlineStr">
        <is>
          <t>未着手</t>
        </is>
      </c>
    </row>
    <row r="18" ht="31" customHeight="1">
      <c r="D18" s="24" t="inlineStr">
        <is>
          <t>13</t>
        </is>
      </c>
      <c r="E18" s="10" t="inlineStr">
        <is>
          <t>方式C の適用表（業務主管の確認）、方式A の T0 マージン（24 時間）</t>
        </is>
      </c>
      <c r="F18" s="23" t="n"/>
      <c r="G18" s="22" t="n"/>
      <c r="H18" s="10" t="inlineStr">
        <is>
          <t>2.3／5.1／5.2</t>
        </is>
      </c>
      <c r="I18" s="10" t="inlineStr">
        <is>
          <t>リハーサルで検証</t>
        </is>
      </c>
      <c r="J18" s="22" t="n"/>
      <c r="K18" s="10" t="inlineStr">
        <is>
          <t>（記入）</t>
        </is>
      </c>
      <c r="L18" s="24" t="inlineStr">
        <is>
          <t>（記入）</t>
        </is>
      </c>
      <c r="M18" s="24" t="inlineStr">
        <is>
          <t>未着手</t>
        </is>
      </c>
    </row>
    <row r="19" ht="31" customHeight="1">
      <c r="D19" s="24" t="inlineStr">
        <is>
          <t>14</t>
        </is>
      </c>
      <c r="E19" s="10" t="inlineStr">
        <is>
          <t>4 時間枠に収まらない場合の代替策（方式C 拡大／変更ログトリガー／DMS CDC）の採否</t>
        </is>
      </c>
      <c r="F19" s="23" t="n"/>
      <c r="G19" s="22" t="n"/>
      <c r="H19" s="10" t="inlineStr">
        <is>
          <t>5.1</t>
        </is>
      </c>
      <c r="I19" s="10" t="inlineStr">
        <is>
          <t>リハーサル結果で判断</t>
        </is>
      </c>
      <c r="J19" s="22" t="n"/>
      <c r="K19" s="10" t="inlineStr">
        <is>
          <t>（記入）</t>
        </is>
      </c>
      <c r="L19" s="24" t="inlineStr">
        <is>
          <t>（記入）</t>
        </is>
      </c>
      <c r="M19" s="24" t="inlineStr">
        <is>
          <t>未着手</t>
        </is>
      </c>
    </row>
    <row r="20" ht="31" customHeight="1">
      <c r="D20" s="24" t="inlineStr">
        <is>
          <t>15</t>
        </is>
      </c>
      <c r="E20" s="10" t="inlineStr">
        <is>
          <t>リハーサル用データ（本番ダンプの QA 取込）の個人情報取扱い</t>
        </is>
      </c>
      <c r="F20" s="23" t="n"/>
      <c r="G20" s="22" t="n"/>
      <c r="H20" s="10" t="inlineStr">
        <is>
          <t>3.7</t>
        </is>
      </c>
      <c r="I20" s="10" t="inlineStr">
        <is>
          <t>規程に従い判断</t>
        </is>
      </c>
      <c r="J20" s="22" t="n"/>
      <c r="K20" s="10" t="inlineStr">
        <is>
          <t>（記入）</t>
        </is>
      </c>
      <c r="L20" s="24" t="inlineStr">
        <is>
          <t>（記入）</t>
        </is>
      </c>
      <c r="M20" s="24" t="inlineStr">
        <is>
          <t>未着手</t>
        </is>
      </c>
    </row>
    <row r="21" ht="31" customHeight="1">
      <c r="D21" s="24" t="inlineStr">
        <is>
          <t>16</t>
        </is>
      </c>
      <c r="E21" s="10" t="inlineStr">
        <is>
          <t>expdp PARALLEL の値（現行サーバ負荷との両立）</t>
        </is>
      </c>
      <c r="F21" s="23" t="n"/>
      <c r="G21" s="22" t="n"/>
      <c r="H21" s="10" t="inlineStr">
        <is>
          <t>4.1</t>
        </is>
      </c>
      <c r="I21" s="10" t="inlineStr">
        <is>
          <t>リハーサルおよび現行の負荷実績で決定</t>
        </is>
      </c>
      <c r="J21" s="22" t="n"/>
      <c r="K21" s="10" t="inlineStr">
        <is>
          <t>（記入）</t>
        </is>
      </c>
      <c r="L21" s="24" t="inlineStr">
        <is>
          <t>（記入）</t>
        </is>
      </c>
      <c r="M21" s="24" t="inlineStr">
        <is>
          <t>未着手</t>
        </is>
      </c>
    </row>
    <row r="22" ht="31" customHeight="1">
      <c r="D22" s="24" t="inlineStr">
        <is>
          <t>17</t>
        </is>
      </c>
      <c r="E22" s="10" t="inlineStr">
        <is>
          <t>初期全量移行の所要時間（13～28 時間）と実施日程（土曜開始）</t>
        </is>
      </c>
      <c r="F22" s="23" t="n"/>
      <c r="G22" s="22" t="n"/>
      <c r="H22" s="10" t="inlineStr">
        <is>
          <t>4 章</t>
        </is>
      </c>
      <c r="I22" s="10" t="inlineStr">
        <is>
          <t>リハーサル実測で確定</t>
        </is>
      </c>
      <c r="J22" s="22" t="n"/>
      <c r="K22" s="10" t="inlineStr">
        <is>
          <t>（記入）</t>
        </is>
      </c>
      <c r="L22" s="24" t="inlineStr">
        <is>
          <t>（記入）</t>
        </is>
      </c>
      <c r="M22" s="24" t="inlineStr">
        <is>
          <t>未着手</t>
        </is>
      </c>
    </row>
    <row r="23" ht="31" customHeight="1">
      <c r="D23" s="24" t="inlineStr">
        <is>
          <t>18</t>
        </is>
      </c>
      <c r="E23" s="10" t="inlineStr">
        <is>
          <t>DB リンクの再作成可否（RDS からリンク先への到達性）</t>
        </is>
      </c>
      <c r="F23" s="23" t="n"/>
      <c r="G23" s="22" t="n"/>
      <c r="H23" s="10" t="inlineStr">
        <is>
          <t>4.4</t>
        </is>
      </c>
      <c r="I23" s="10" t="inlineStr">
        <is>
          <t>事前調査 No.9</t>
        </is>
      </c>
      <c r="J23" s="22" t="n"/>
      <c r="K23" s="10" t="inlineStr">
        <is>
          <t>（記入）</t>
        </is>
      </c>
      <c r="L23" s="24" t="inlineStr">
        <is>
          <t>（記入）</t>
        </is>
      </c>
      <c r="M23" s="24" t="inlineStr">
        <is>
          <t>未着手</t>
        </is>
      </c>
    </row>
    <row r="24" ht="31" customHeight="1">
      <c r="D24" s="24" t="inlineStr">
        <is>
          <t>19</t>
        </is>
      </c>
      <c r="E24" s="10" t="inlineStr">
        <is>
          <t>方式A の MERGE 実行時にトリガーを無効化するか（トリガーの副作用の有無）</t>
        </is>
      </c>
      <c r="F24" s="23" t="n"/>
      <c r="G24" s="22" t="n"/>
      <c r="H24" s="10" t="inlineStr">
        <is>
          <t>5.7</t>
        </is>
      </c>
      <c r="I24" s="10" t="inlineStr">
        <is>
          <t>トリガー一覧で判断</t>
        </is>
      </c>
      <c r="J24" s="22" t="n"/>
      <c r="K24" s="10" t="inlineStr">
        <is>
          <t>（記入）</t>
        </is>
      </c>
      <c r="L24" s="24" t="inlineStr">
        <is>
          <t>（記入）</t>
        </is>
      </c>
      <c r="M24" s="24" t="inlineStr">
        <is>
          <t>未着手</t>
        </is>
      </c>
    </row>
    <row r="25" ht="31" customHeight="1">
      <c r="D25" s="24" t="inlineStr">
        <is>
          <t>20</t>
        </is>
      </c>
      <c r="E25" s="10" t="inlineStr">
        <is>
          <t>切替開始時刻 T（日曜 計画保守時間帯内）と連携先の停止・再開時刻</t>
        </is>
      </c>
      <c r="F25" s="23" t="n"/>
      <c r="G25" s="22" t="n"/>
      <c r="H25" s="10" t="inlineStr">
        <is>
          <t>5.4</t>
        </is>
      </c>
      <c r="I25" s="10" t="inlineStr">
        <is>
          <t>業務主管・連携先と合意</t>
        </is>
      </c>
      <c r="J25" s="22" t="n"/>
      <c r="K25" s="10" t="inlineStr">
        <is>
          <t>（記入）</t>
        </is>
      </c>
      <c r="L25" s="24" t="inlineStr">
        <is>
          <t>（記入）</t>
        </is>
      </c>
      <c r="M25" s="24" t="inlineStr">
        <is>
          <t>未着手</t>
        </is>
      </c>
    </row>
    <row r="26" ht="31" customHeight="1">
      <c r="D26" s="24" t="inlineStr">
        <is>
          <t>21</t>
        </is>
      </c>
      <c r="E26" s="10" t="inlineStr">
        <is>
          <t>SID 接続を使用しているスクリプト・ジョブの洗い出しと SERVICE_NAME 接続への変更</t>
        </is>
      </c>
      <c r="F26" s="23" t="n"/>
      <c r="G26" s="22" t="n"/>
      <c r="H26" s="10" t="inlineStr">
        <is>
          <t>5.9</t>
        </is>
      </c>
      <c r="I26" s="10" t="inlineStr">
        <is>
          <t>事前調査 No.17</t>
        </is>
      </c>
      <c r="J26" s="22" t="n"/>
      <c r="K26" s="10" t="inlineStr">
        <is>
          <t>（記入）</t>
        </is>
      </c>
      <c r="L26" s="24" t="inlineStr">
        <is>
          <t>（記入）</t>
        </is>
      </c>
      <c r="M26" s="24" t="inlineStr">
        <is>
          <t>未着手</t>
        </is>
      </c>
    </row>
    <row r="27" ht="31" customHeight="1">
      <c r="D27" s="24" t="inlineStr">
        <is>
          <t>22</t>
        </is>
      </c>
      <c r="E27" s="10" t="inlineStr">
        <is>
          <t>Salesforce Data Loader の DB 接続方式（直結か ASTERIA 経由か）</t>
        </is>
      </c>
      <c r="F27" s="23" t="n"/>
      <c r="G27" s="22" t="n"/>
      <c r="H27" s="10" t="inlineStr">
        <is>
          <t>5.9／6.4</t>
        </is>
      </c>
      <c r="I27" s="10" t="inlineStr">
        <is>
          <t>Data Loader 移行設計と整合</t>
        </is>
      </c>
      <c r="J27" s="22" t="n"/>
      <c r="K27" s="10" t="inlineStr">
        <is>
          <t>（記入）</t>
        </is>
      </c>
      <c r="L27" s="24" t="inlineStr">
        <is>
          <t>（記入）</t>
        </is>
      </c>
      <c r="M27" s="24" t="inlineStr">
        <is>
          <t>未着手</t>
        </is>
      </c>
    </row>
    <row r="28" ht="31" customHeight="1">
      <c r="D28" s="24" t="inlineStr">
        <is>
          <t>23</t>
        </is>
      </c>
      <c r="E28" s="10" t="inlineStr">
        <is>
          <t>DB 直結の連携先（FWSS・eHUB 等）の有無と接続先変更</t>
        </is>
      </c>
      <c r="F28" s="23" t="n"/>
      <c r="G28" s="22" t="n"/>
      <c r="H28" s="10" t="inlineStr">
        <is>
          <t>5.9</t>
        </is>
      </c>
      <c r="I28" s="10" t="inlineStr">
        <is>
          <t>事前調査 No.17</t>
        </is>
      </c>
      <c r="J28" s="22" t="n"/>
      <c r="K28" s="10" t="inlineStr">
        <is>
          <t>（記入）</t>
        </is>
      </c>
      <c r="L28" s="24" t="inlineStr">
        <is>
          <t>（記入）</t>
        </is>
      </c>
      <c r="M28" s="24" t="inlineStr">
        <is>
          <t>未着手</t>
        </is>
      </c>
    </row>
    <row r="29" ht="31" customHeight="1">
      <c r="D29" s="24" t="inlineStr">
        <is>
          <t>24</t>
        </is>
      </c>
      <c r="E29" s="10" t="inlineStr">
        <is>
          <t>性能基準（バッチ ±20%、応答時間）と負荷試験ツール</t>
        </is>
      </c>
      <c r="F29" s="23" t="n"/>
      <c r="G29" s="22" t="n"/>
      <c r="H29" s="10" t="inlineStr">
        <is>
          <t>6.3</t>
        </is>
      </c>
      <c r="I29" s="10" t="inlineStr">
        <is>
          <t>業務主管と合意</t>
        </is>
      </c>
      <c r="J29" s="22" t="n"/>
      <c r="K29" s="10" t="inlineStr">
        <is>
          <t>（記入）</t>
        </is>
      </c>
      <c r="L29" s="24" t="inlineStr">
        <is>
          <t>（記入）</t>
        </is>
      </c>
      <c r="M29" s="24" t="inlineStr">
        <is>
          <t>未着手</t>
        </is>
      </c>
    </row>
    <row r="30" ht="31" customHeight="1">
      <c r="D30" s="24" t="inlineStr">
        <is>
          <t>25</t>
        </is>
      </c>
      <c r="E30" s="10" t="inlineStr">
        <is>
          <t>AWR（Diagnostics Pack）ライセンスの有無（性能ベースライン取得方法）</t>
        </is>
      </c>
      <c r="F30" s="23" t="n"/>
      <c r="G30" s="22" t="n"/>
      <c r="H30" s="10" t="inlineStr">
        <is>
          <t>3.1</t>
        </is>
      </c>
      <c r="I30" s="10" t="inlineStr"/>
      <c r="J30" s="22" t="n"/>
      <c r="K30" s="10" t="inlineStr">
        <is>
          <t>（記入）</t>
        </is>
      </c>
      <c r="L30" s="24" t="inlineStr">
        <is>
          <t>（記入）</t>
        </is>
      </c>
      <c r="M30" s="24" t="inlineStr">
        <is>
          <t>未着手</t>
        </is>
      </c>
    </row>
    <row r="31" ht="17.5" customHeight="1">
      <c r="D31" s="24" t="inlineStr">
        <is>
          <t>26</t>
        </is>
      </c>
      <c r="E31" s="10" t="inlineStr">
        <is>
          <t>監視（Tivoli）と CloudWatch の連携方式</t>
        </is>
      </c>
      <c r="F31" s="23" t="n"/>
      <c r="G31" s="22" t="n"/>
      <c r="H31" s="10" t="inlineStr">
        <is>
          <t>6.5／9.3</t>
        </is>
      </c>
      <c r="I31" s="10" t="inlineStr">
        <is>
          <t>移行仕様書 課題 No.5</t>
        </is>
      </c>
      <c r="J31" s="22" t="n"/>
      <c r="K31" s="10" t="inlineStr">
        <is>
          <t>（記入）</t>
        </is>
      </c>
      <c r="L31" s="24" t="inlineStr">
        <is>
          <t>（記入）</t>
        </is>
      </c>
      <c r="M31" s="24" t="inlineStr">
        <is>
          <t>未着手</t>
        </is>
      </c>
    </row>
    <row r="32" ht="44.5" customHeight="1">
      <c r="D32" s="24" t="inlineStr">
        <is>
          <t>27</t>
        </is>
      </c>
      <c r="E32" s="10" t="inlineStr">
        <is>
          <t>RDS メンテナンスウィンドウ・バックアップウィンドウの時刻（切替日・計画保守時間との重複回避）</t>
        </is>
      </c>
      <c r="F32" s="23" t="n"/>
      <c r="G32" s="22" t="n"/>
      <c r="H32" s="10" t="inlineStr">
        <is>
          <t>3.2.1／7 章</t>
        </is>
      </c>
      <c r="I32" s="10" t="inlineStr"/>
      <c r="J32" s="22" t="n"/>
      <c r="K32" s="10" t="inlineStr">
        <is>
          <t>（記入）</t>
        </is>
      </c>
      <c r="L32" s="24" t="inlineStr">
        <is>
          <t>（記入）</t>
        </is>
      </c>
      <c r="M32" s="24" t="inlineStr">
        <is>
          <t>未着手</t>
        </is>
      </c>
    </row>
    <row r="33" ht="31" customHeight="1">
      <c r="D33" s="24" t="inlineStr">
        <is>
          <t>28</t>
        </is>
      </c>
      <c r="E33" s="10" t="inlineStr">
        <is>
          <t>ダンプファイル・スナップショット・現行環境の保持期間（切戻し期間 1 か月との整合）</t>
        </is>
      </c>
      <c r="F33" s="23" t="n"/>
      <c r="G33" s="22" t="n"/>
      <c r="H33" s="10" t="inlineStr">
        <is>
          <t>8.1／9 章</t>
        </is>
      </c>
      <c r="I33" s="10" t="inlineStr">
        <is>
          <t>移行仕様書 A.7</t>
        </is>
      </c>
      <c r="J33" s="22" t="n"/>
      <c r="K33" s="10" t="inlineStr">
        <is>
          <t>（記入）</t>
        </is>
      </c>
      <c r="L33" s="24" t="inlineStr">
        <is>
          <t>（記入）</t>
        </is>
      </c>
      <c r="M33" s="24" t="inlineStr">
        <is>
          <t>未着手</t>
        </is>
      </c>
    </row>
    <row r="34" ht="31" customHeight="1">
      <c r="D34" s="24" t="inlineStr">
        <is>
          <t>29</t>
        </is>
      </c>
      <c r="E34" s="10" t="inlineStr">
        <is>
          <t>11g→19c 非互換 SQL／PL/SQL の調査範囲と修正方針</t>
        </is>
      </c>
      <c r="F34" s="23" t="n"/>
      <c r="G34" s="22" t="n"/>
      <c r="H34" s="10" t="inlineStr">
        <is>
          <t>3.1／7 章</t>
        </is>
      </c>
      <c r="I34" s="10" t="inlineStr">
        <is>
          <t>移行仕様書 課題 No.9</t>
        </is>
      </c>
      <c r="J34" s="22" t="n"/>
      <c r="K34" s="10" t="inlineStr">
        <is>
          <t>（記入）</t>
        </is>
      </c>
      <c r="L34" s="24" t="inlineStr">
        <is>
          <t>（記入）</t>
        </is>
      </c>
      <c r="M34" s="24" t="inlineStr">
        <is>
          <t>未着手</t>
        </is>
      </c>
    </row>
    <row r="35" ht="31" customHeight="1">
      <c r="D35" s="24" t="inlineStr">
        <is>
          <t>30</t>
        </is>
      </c>
      <c r="E35" s="10" t="inlineStr">
        <is>
          <t>RDS 表領域のブロックサイズ（現行が 8KB 以外の場合の対応）</t>
        </is>
      </c>
      <c r="F35" s="23" t="n"/>
      <c r="G35" s="22" t="n"/>
      <c r="H35" s="10" t="inlineStr">
        <is>
          <t>3.1</t>
        </is>
      </c>
      <c r="I35" s="10" t="inlineStr">
        <is>
          <t>事前調査 No.6</t>
        </is>
      </c>
      <c r="J35" s="22" t="n"/>
      <c r="K35" s="10" t="inlineStr">
        <is>
          <t>（記入）</t>
        </is>
      </c>
      <c r="L35" s="24" t="inlineStr">
        <is>
          <t>（記入）</t>
        </is>
      </c>
      <c r="M35" s="24" t="inlineStr">
        <is>
          <t>未着手</t>
        </is>
      </c>
    </row>
  </sheetData>
  <mergeCells count="64">
    <mergeCell ref="I30:J30"/>
    <mergeCell ref="E10:G10"/>
    <mergeCell ref="E28:G28"/>
    <mergeCell ref="I34:J34"/>
    <mergeCell ref="I6:J6"/>
    <mergeCell ref="E13:G13"/>
    <mergeCell ref="E19:G19"/>
    <mergeCell ref="I15:J15"/>
    <mergeCell ref="D3:M3"/>
    <mergeCell ref="E31:G31"/>
    <mergeCell ref="I11:J11"/>
    <mergeCell ref="I27:J27"/>
    <mergeCell ref="E9:G9"/>
    <mergeCell ref="E34:G34"/>
    <mergeCell ref="B1:M1"/>
    <mergeCell ref="E30:G30"/>
    <mergeCell ref="E15:G15"/>
    <mergeCell ref="I26:J26"/>
    <mergeCell ref="E6:G6"/>
    <mergeCell ref="E11:G11"/>
    <mergeCell ref="I16:J16"/>
    <mergeCell ref="E27:G27"/>
    <mergeCell ref="I32:J32"/>
    <mergeCell ref="I7:J7"/>
    <mergeCell ref="I25:J25"/>
    <mergeCell ref="E26:G26"/>
    <mergeCell ref="I22:J22"/>
    <mergeCell ref="I28:J28"/>
    <mergeCell ref="E7:G7"/>
    <mergeCell ref="I18:J18"/>
    <mergeCell ref="E25:G25"/>
    <mergeCell ref="E16:G16"/>
    <mergeCell ref="I21:J21"/>
    <mergeCell ref="E32:G32"/>
    <mergeCell ref="I12:J12"/>
    <mergeCell ref="E22:G22"/>
    <mergeCell ref="I24:J24"/>
    <mergeCell ref="I33:J33"/>
    <mergeCell ref="I5:J5"/>
    <mergeCell ref="E12:G12"/>
    <mergeCell ref="E18:G18"/>
    <mergeCell ref="I23:J23"/>
    <mergeCell ref="I8:J8"/>
    <mergeCell ref="I14:J14"/>
    <mergeCell ref="E21:G21"/>
    <mergeCell ref="I17:J17"/>
    <mergeCell ref="E24:G24"/>
    <mergeCell ref="I29:J29"/>
    <mergeCell ref="I35:J35"/>
    <mergeCell ref="I20:J20"/>
    <mergeCell ref="E14:G14"/>
    <mergeCell ref="E33:G33"/>
    <mergeCell ref="E5:G5"/>
    <mergeCell ref="I10:J10"/>
    <mergeCell ref="E23:G23"/>
    <mergeCell ref="E8:G8"/>
    <mergeCell ref="I19:J19"/>
    <mergeCell ref="E17:G17"/>
    <mergeCell ref="E35:G35"/>
    <mergeCell ref="I13:J13"/>
    <mergeCell ref="I31:J31"/>
    <mergeCell ref="E29:G29"/>
    <mergeCell ref="I9:J9"/>
    <mergeCell ref="E20:G20"/>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B1:M18"/>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11. 変更履歴</t>
        </is>
      </c>
    </row>
    <row r="2" ht="4" customHeight="1"/>
    <row r="3" ht="17.5" customHeight="1">
      <c r="D3" s="8" t="inlineStr">
        <is>
          <t>バージョン</t>
        </is>
      </c>
      <c r="E3" s="8" t="inlineStr">
        <is>
          <t>更新日</t>
        </is>
      </c>
      <c r="F3" s="8" t="inlineStr">
        <is>
          <t>更新者</t>
        </is>
      </c>
      <c r="G3" s="8" t="inlineStr">
        <is>
          <t>更新内容</t>
        </is>
      </c>
      <c r="H3" s="23" t="n"/>
      <c r="I3" s="23" t="n"/>
      <c r="J3" s="23" t="n"/>
      <c r="K3" s="23" t="n"/>
      <c r="L3" s="22" t="n"/>
      <c r="M3" s="8" t="inlineStr">
        <is>
          <t>レビュー日</t>
        </is>
      </c>
    </row>
    <row r="4" ht="31" customHeight="1">
      <c r="D4" s="10" t="inlineStr">
        <is>
          <t>1.0.0（ver1）</t>
        </is>
      </c>
      <c r="E4" s="24" t="inlineStr">
        <is>
          <t>2026/09/15</t>
        </is>
      </c>
      <c r="F4" s="10" t="inlineStr">
        <is>
          <t>（記入）</t>
        </is>
      </c>
      <c r="G4" s="10" t="inlineStr">
        <is>
          <t>Oracle 移行計画書 初版作成。移行仕様書 ver1 付録A.3 を基に、事前準備・全量移行手順・差分移行（方式A／B／C）・検証・リスク・留意事項・後片付け・コマンド例を記載</t>
        </is>
      </c>
      <c r="H4" s="23" t="n"/>
      <c r="I4" s="23" t="n"/>
      <c r="J4" s="23" t="n"/>
      <c r="K4" s="23" t="n"/>
      <c r="L4" s="22" t="n"/>
      <c r="M4" s="24" t="inlineStr"/>
    </row>
    <row r="5" ht="6" customHeight="1"/>
    <row r="6" ht="17.5" customHeight="1">
      <c r="D6" s="7" t="inlineStr">
        <is>
          <t>ver1 のレビューア一覧</t>
        </is>
      </c>
    </row>
    <row r="7" ht="17.5" customHeight="1">
      <c r="D7" s="8" t="inlineStr">
        <is>
          <t>氏名</t>
        </is>
      </c>
      <c r="E7" s="23" t="n"/>
      <c r="F7" s="23" t="n"/>
      <c r="G7" s="23" t="n"/>
      <c r="H7" s="22" t="n"/>
      <c r="I7" s="8" t="inlineStr">
        <is>
          <t>職位</t>
        </is>
      </c>
      <c r="J7" s="23" t="n"/>
      <c r="K7" s="23" t="n"/>
      <c r="L7" s="23" t="n"/>
      <c r="M7" s="22" t="n"/>
    </row>
    <row r="8" ht="17.5" customHeight="1">
      <c r="D8" s="10" t="inlineStr"/>
      <c r="E8" s="23" t="n"/>
      <c r="F8" s="23" t="n"/>
      <c r="G8" s="23" t="n"/>
      <c r="H8" s="22" t="n"/>
      <c r="I8" s="10" t="inlineStr"/>
      <c r="J8" s="23" t="n"/>
      <c r="K8" s="23" t="n"/>
      <c r="L8" s="23" t="n"/>
      <c r="M8" s="22" t="n"/>
    </row>
    <row r="9" ht="17.5" customHeight="1">
      <c r="D9" s="10" t="inlineStr"/>
      <c r="E9" s="23" t="n"/>
      <c r="F9" s="23" t="n"/>
      <c r="G9" s="23" t="n"/>
      <c r="H9" s="22" t="n"/>
      <c r="I9" s="10" t="inlineStr"/>
      <c r="J9" s="23" t="n"/>
      <c r="K9" s="23" t="n"/>
      <c r="L9" s="23" t="n"/>
      <c r="M9" s="22" t="n"/>
    </row>
    <row r="10" ht="17.5" customHeight="1">
      <c r="D10" s="10" t="inlineStr"/>
      <c r="E10" s="23" t="n"/>
      <c r="F10" s="23" t="n"/>
      <c r="G10" s="23" t="n"/>
      <c r="H10" s="22" t="n"/>
      <c r="I10" s="10" t="inlineStr"/>
      <c r="J10" s="23" t="n"/>
      <c r="K10" s="23" t="n"/>
      <c r="L10" s="23" t="n"/>
      <c r="M10" s="22" t="n"/>
    </row>
    <row r="11" ht="6" customHeight="1"/>
    <row r="12" ht="17.5" customHeight="1">
      <c r="D12" s="7" t="inlineStr">
        <is>
          <t>ver1 のレビュー記録</t>
        </is>
      </c>
    </row>
    <row r="13" ht="17.5" customHeight="1">
      <c r="D13" s="8" t="inlineStr">
        <is>
          <t>No</t>
        </is>
      </c>
      <c r="E13" s="8" t="inlineStr">
        <is>
          <t>指摘事項</t>
        </is>
      </c>
      <c r="F13" s="23" t="n"/>
      <c r="G13" s="22" t="n"/>
      <c r="H13" s="8" t="inlineStr">
        <is>
          <t>措置</t>
        </is>
      </c>
      <c r="I13" s="22" t="n"/>
      <c r="J13" s="8" t="inlineStr">
        <is>
          <t>レビューア</t>
        </is>
      </c>
      <c r="K13" s="22" t="n"/>
      <c r="L13" s="8" t="inlineStr">
        <is>
          <t>修正日</t>
        </is>
      </c>
      <c r="M13" s="8" t="inlineStr">
        <is>
          <t>修正確認日</t>
        </is>
      </c>
    </row>
    <row r="14" ht="17.5" customHeight="1">
      <c r="D14" s="24" t="inlineStr">
        <is>
          <t>1</t>
        </is>
      </c>
      <c r="E14" s="10" t="inlineStr"/>
      <c r="F14" s="23" t="n"/>
      <c r="G14" s="22" t="n"/>
      <c r="H14" s="10" t="inlineStr"/>
      <c r="I14" s="22" t="n"/>
      <c r="J14" s="10" t="inlineStr"/>
      <c r="K14" s="22" t="n"/>
      <c r="L14" s="24" t="inlineStr"/>
      <c r="M14" s="24" t="inlineStr"/>
    </row>
    <row r="15" ht="17.5" customHeight="1">
      <c r="D15" s="24" t="inlineStr">
        <is>
          <t>2</t>
        </is>
      </c>
      <c r="E15" s="10" t="inlineStr"/>
      <c r="F15" s="23" t="n"/>
      <c r="G15" s="22" t="n"/>
      <c r="H15" s="10" t="inlineStr"/>
      <c r="I15" s="22" t="n"/>
      <c r="J15" s="10" t="inlineStr"/>
      <c r="K15" s="22" t="n"/>
      <c r="L15" s="24" t="inlineStr"/>
      <c r="M15" s="24" t="inlineStr"/>
    </row>
    <row r="16" ht="17.5" customHeight="1">
      <c r="D16" s="24" t="inlineStr">
        <is>
          <t>3</t>
        </is>
      </c>
      <c r="E16" s="10" t="inlineStr"/>
      <c r="F16" s="23" t="n"/>
      <c r="G16" s="22" t="n"/>
      <c r="H16" s="10" t="inlineStr"/>
      <c r="I16" s="22" t="n"/>
      <c r="J16" s="10" t="inlineStr"/>
      <c r="K16" s="22" t="n"/>
      <c r="L16" s="24" t="inlineStr"/>
      <c r="M16" s="24" t="inlineStr"/>
    </row>
    <row r="17" ht="17.5" customHeight="1">
      <c r="D17" s="24" t="inlineStr">
        <is>
          <t>4</t>
        </is>
      </c>
      <c r="E17" s="10" t="inlineStr"/>
      <c r="F17" s="23" t="n"/>
      <c r="G17" s="22" t="n"/>
      <c r="H17" s="10" t="inlineStr"/>
      <c r="I17" s="22" t="n"/>
      <c r="J17" s="10" t="inlineStr"/>
      <c r="K17" s="22" t="n"/>
      <c r="L17" s="24" t="inlineStr"/>
      <c r="M17" s="24" t="inlineStr"/>
    </row>
    <row r="18" ht="17.5" customHeight="1">
      <c r="D18" s="24" t="inlineStr">
        <is>
          <t>5</t>
        </is>
      </c>
      <c r="E18" s="10" t="inlineStr"/>
      <c r="F18" s="23" t="n"/>
      <c r="G18" s="22" t="n"/>
      <c r="H18" s="10" t="inlineStr"/>
      <c r="I18" s="22" t="n"/>
      <c r="J18" s="10" t="inlineStr"/>
      <c r="K18" s="22" t="n"/>
      <c r="L18" s="24" t="inlineStr"/>
      <c r="M18" s="24" t="inlineStr"/>
    </row>
  </sheetData>
  <mergeCells count="31">
    <mergeCell ref="I9:M9"/>
    <mergeCell ref="E13:G13"/>
    <mergeCell ref="D10:H10"/>
    <mergeCell ref="D12:M12"/>
    <mergeCell ref="J14:K14"/>
    <mergeCell ref="G3:L3"/>
    <mergeCell ref="B1:M1"/>
    <mergeCell ref="J13:K13"/>
    <mergeCell ref="E15:G15"/>
    <mergeCell ref="I7:M7"/>
    <mergeCell ref="J15:K15"/>
    <mergeCell ref="G4:L4"/>
    <mergeCell ref="E16:G16"/>
    <mergeCell ref="H17:I17"/>
    <mergeCell ref="D7:H7"/>
    <mergeCell ref="H16:I16"/>
    <mergeCell ref="J16:K16"/>
    <mergeCell ref="E18:G18"/>
    <mergeCell ref="D6:M6"/>
    <mergeCell ref="H13:I13"/>
    <mergeCell ref="I8:M8"/>
    <mergeCell ref="D9:H9"/>
    <mergeCell ref="D8:H8"/>
    <mergeCell ref="E14:G14"/>
    <mergeCell ref="H15:I15"/>
    <mergeCell ref="I10:M10"/>
    <mergeCell ref="H18:I18"/>
    <mergeCell ref="J18:K18"/>
    <mergeCell ref="E17:G17"/>
    <mergeCell ref="H14:I14"/>
    <mergeCell ref="J17:K17"/>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B1:M25"/>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付録A. コマンド・SQL 例</t>
        </is>
      </c>
    </row>
    <row r="2" ht="4" customHeight="1"/>
    <row r="3" ht="31" customHeight="1">
      <c r="D3" s="7" t="inlineStr">
        <is>
          <t>本付録は 4・5 章の手順で参照するコマンド・SQL の例である。&lt;…&gt; は環境定義書の値に置き換える。パスワードはコマンドラインに含めず、パラメータファイル（権限 600）または対話入力とする。実行前に開発環境で動作確認し、移行手順書に確定版を記載する。</t>
        </is>
      </c>
    </row>
    <row r="4" ht="6" customHeight="1"/>
    <row r="5" ht="16" customHeight="1">
      <c r="D5" s="21" t="inlineStr">
        <is>
          <t>表 A-1　コマンド・SQL 例</t>
        </is>
      </c>
    </row>
    <row r="6" ht="17.5" customHeight="1">
      <c r="D6" s="26" t="inlineStr">
        <is>
          <t>No</t>
        </is>
      </c>
      <c r="E6" s="26" t="inlineStr">
        <is>
          <t>用途</t>
        </is>
      </c>
      <c r="F6" s="26" t="inlineStr">
        <is>
          <t>実行場所</t>
        </is>
      </c>
      <c r="G6" s="26" t="inlineStr">
        <is>
          <t>コマンド・SQL</t>
        </is>
      </c>
      <c r="H6" s="23" t="n"/>
      <c r="I6" s="23" t="n"/>
      <c r="J6" s="23" t="n"/>
      <c r="K6" s="23" t="n"/>
      <c r="L6" s="22" t="n"/>
      <c r="M6" s="26" t="inlineStr">
        <is>
          <t>補足</t>
        </is>
      </c>
    </row>
    <row r="7" ht="379" customHeight="1">
      <c r="D7" s="27" t="inlineStr">
        <is>
          <t>A-1</t>
        </is>
      </c>
      <c r="E7" s="28" t="inlineStr">
        <is>
          <t>事前調査（現行）</t>
        </is>
      </c>
      <c r="F7" s="28" t="inlineStr">
        <is>
          <t>sqlplus（現行）</t>
        </is>
      </c>
      <c r="G7" s="29" t="inlineStr">
        <is>
          <t>-- 文字コード・NLS
SELECT parameter, value FROM nls_database_parameters WHERE parameter LIKE 'NLS_%CHARACTERSET' OR parameter='NLS_LENGTH_SEMANTICS';
-- スキーマ別サイズ（GB）
SELECT owner, ROUND(SUM(bytes)/1024/1024/1024,1) gb FROM dba_segments WHERE owner IN (&lt;対象スキーマ&gt;) GROUP BY owner ORDER BY 2 DESC;
-- 表別サイズ・件数・主キー・updatedate 列（付録B の基礎）
SELECT t.owner, t.table_name, t.num_rows, ROUND(s.gb,2) gb,
  (SELECT COUNT(*) FROM dba_constraints c WHERE c.owner=t.owner AND c.table_name=t.table_name AND c.constraint_type='P') pk,
  (SELECT COUNT(*) FROM dba_tab_columns k WHERE k.owner=t.owner AND k.table_name=t.table_name AND UPPER(k.column_name)='UPDATEDATE') upd_col,
  (SELECT COUNT(*) FROM dba_tab_columns k WHERE k.owner=t.owner AND k.table_name=t.table_name AND UPPER(k.column_name)='CREATEDATE') cre_col
FROM dba_tables t LEFT JOIN (SELECT owner, segment_name, SUM(bytes)/1024/1024/1024 gb FROM dba_segments WHERE segment_type LIKE 'TABLE%' GROUP BY owner, segment_name) s
  ON s.owner=t.owner AND s.segment_name=t.table_name WHERE t.owner IN (&lt;対象スキーマ&gt;) ORDER BY gb DESC;
-- オブジェクト数・無効オブジェクト
SELECT owner, object_type, status, COUNT(*) FROM dba_objects WHERE owner IN (&lt;対象スキーマ&gt;) GROUP BY owner, object_type, status ORDER BY 1,2,3;
-- RDS 非対応機能の利用
SELECT * FROM dba_db_links; SELECT * FROM dba_directories; SELECT owner, job_name, enabled FROM dba_scheduler_jobs WHERE owner IN (&lt;対象スキーマ&gt;);
SELECT owner, name, type FROM dba_dependencies WHERE referenced_name IN ('UTL_FILE','DBMS_JAVA','UTL_HTTP','DBMS_PIPE') AND owner IN (&lt;対象スキーマ&gt;);
-- 非デフォルトパラメータ／タイムゾーン
SELECT name, value FROM v$parameter WHERE isdefault='FALSE' ORDER BY 1; SELECT dbtimezone, sessiontimezone FROM dual; SELECT * FROM v$timezone_file;</t>
        </is>
      </c>
      <c r="H7" s="23" t="n"/>
      <c r="I7" s="23" t="n"/>
      <c r="J7" s="23" t="n"/>
      <c r="K7" s="23" t="n"/>
      <c r="L7" s="22" t="n"/>
      <c r="M7" s="28" t="inlineStr">
        <is>
          <t>結果は CSV で保存（SET MARKUP CSV ON など）</t>
        </is>
      </c>
    </row>
    <row r="8" ht="141.5" customHeight="1">
      <c r="D8" s="27" t="inlineStr">
        <is>
          <t>A-2</t>
        </is>
      </c>
      <c r="E8" s="28" t="inlineStr">
        <is>
          <t>一時 EBS・ディレクトリ準備（現行）</t>
        </is>
      </c>
      <c r="F8" s="28" t="inlineStr">
        <is>
          <t>OS root／sqlplus（現行）</t>
        </is>
      </c>
      <c r="G8" s="29" t="inlineStr">
        <is>
          <t># EBS をアタッチ後（デバイス名は環境依存）
mkfs -t ext3 /dev/xvdf
mkdir -p /dpump &amp;&amp; mount /dev/xvdf /dpump &amp;&amp; chown oracle:oinstall /dpump &amp;&amp; chmod 750 /dpump
-- ディレクトリオブジェクト
CREATE DIRECTORY DPUMP_MIG AS '/dpump';
GRANT READ, WRITE ON DIRECTORY DPUMP_MIG TO MIGADMIN;
-- 作業ユーザ
CREATE USER MIGADMIN IDENTIFIED BY &lt;pw&gt; DEFAULT TABLESPACE USERS;
GRANT CREATE SESSION, DATAPUMP_EXP_FULL_DATABASE, SELECT_CATALOG_ROLE, RESTRICTED SESSION TO MIGADMIN;</t>
        </is>
      </c>
      <c r="H8" s="23" t="n"/>
      <c r="I8" s="23" t="n"/>
      <c r="J8" s="23" t="n"/>
      <c r="K8" s="23" t="n"/>
      <c r="L8" s="22" t="n"/>
      <c r="M8" s="28" t="inlineStr">
        <is>
          <t>RHEL 5.4 は ext3 を使用。fstab へは登録しない（一時利用）</t>
        </is>
      </c>
    </row>
    <row r="9" ht="54" customHeight="1">
      <c r="D9" s="27" t="inlineStr">
        <is>
          <t>A-3</t>
        </is>
      </c>
      <c r="E9" s="28" t="inlineStr">
        <is>
          <t>SCN・時刻の取得（現行）</t>
        </is>
      </c>
      <c r="F9" s="28" t="inlineStr">
        <is>
          <t>sqlplus（現行）</t>
        </is>
      </c>
      <c r="G9" s="29" t="inlineStr">
        <is>
          <t>SELECT current_scn, TO_CHAR(SCN_TO_TIMESTAMP(current_scn),'YYYY-MM-DD HH24:MI:SS') ts FROM v$database;
-- 出力を作業記録台帳へ（S0/T0 または S1）</t>
        </is>
      </c>
      <c r="H9" s="23" t="n"/>
      <c r="I9" s="23" t="n"/>
      <c r="J9" s="23" t="n"/>
      <c r="K9" s="23" t="n"/>
      <c r="L9" s="22" t="n"/>
      <c r="M9" s="28" t="inlineStr">
        <is>
          <t>S1 取得前に v$transaction が空であることを確認</t>
        </is>
      </c>
    </row>
    <row r="10" ht="354" customHeight="1">
      <c r="D10" s="27" t="inlineStr">
        <is>
          <t>A-4</t>
        </is>
      </c>
      <c r="E10" s="28" t="inlineStr">
        <is>
          <t>全量エクスポート（現行）</t>
        </is>
      </c>
      <c r="F10" s="28" t="inlineStr">
        <is>
          <t>expdp（現行）</t>
        </is>
      </c>
      <c r="G10" s="29" t="inlineStr">
        <is>
          <t># exp_full_meta.par
USERID=MIGADMIN
DIRECTORY=DPUMP_MIG
DUMPFILE=full_meta.dmp
LOGFILE=full_meta.log
SCHEMAS=&lt;SCHEMA1&gt;,&lt;SCHEMA2&gt;,...
CONTENT=METADATA_ONLY
FLASHBACK_SCN=&lt;S0&gt;
EXCLUDE=STATISTICS
# exp_full_data01.par（バッチ 01：付録B の割当）
USERID=MIGADMIN
DIRECTORY=DPUMP_MIG
DUMPFILE=full_data01_%U.dmp
LOGFILE=full_data01.log
TABLES=&lt;SCHEMA1&gt;.&lt;TABLE_A&gt;,&lt;SCHEMA1&gt;.&lt;TABLE_B&gt;,...
CONTENT=DATA_ONLY
FLASHBACK_SCN=&lt;S0&gt;
PARALLEL=4
FILESIZE=20G
COMPRESSION=METADATA_ONLY
EXCLUDE=STATISTICS
$ nohup expdp PARFILE=exp_full_meta.par &gt; exp_full_meta.out 2&gt;&amp;1 &amp;
$ nohup expdp PARFILE=exp_full_data01.par &gt; exp_full_data01.out 2&gt;&amp;1 &amp;
# 進捗：SELECT job_name, state FROM dba_datapump_jobs;  または expdp MIGADMIN ATTACH=&lt;JOB_NAME&gt; → STATUS
# 表別行数：grep '^\. \. exported' full_data01.log</t>
        </is>
      </c>
      <c r="H10" s="23" t="n"/>
      <c r="I10" s="23" t="n"/>
      <c r="J10" s="23" t="n"/>
      <c r="K10" s="23" t="n"/>
      <c r="L10" s="22" t="n"/>
      <c r="M10" s="28" t="inlineStr">
        <is>
          <t>パスワードは対話入力。COMPRESSION=ALL は Advanced Compression ライセンス確認後</t>
        </is>
      </c>
    </row>
    <row r="11" ht="66.5" customHeight="1">
      <c r="D11" s="27" t="inlineStr">
        <is>
          <t>A-5</t>
        </is>
      </c>
      <c r="E11" s="28" t="inlineStr">
        <is>
          <t>チェックサム</t>
        </is>
      </c>
      <c r="F11" s="28" t="inlineStr">
        <is>
          <t>OS（現行／新サーバ）</t>
        </is>
      </c>
      <c r="G11" s="29" t="inlineStr">
        <is>
          <t># 作成（現行）
cd /dpump &amp;&amp; sha256sum full_*.dmp &gt; full.sha256 &amp;&amp; ls -l full_*.dmp &gt; full.list
# 照合（新サーバ）
cd /disk3/dpump &amp;&amp; sha256sum -c full.sha256 | grep -v ': OK'   # 出力なしが正常</t>
        </is>
      </c>
      <c r="H11" s="23" t="n"/>
      <c r="I11" s="23" t="n"/>
      <c r="J11" s="23" t="n"/>
      <c r="K11" s="23" t="n"/>
      <c r="L11" s="22" t="n"/>
      <c r="M11" s="28" t="inlineStr">
        <is>
          <t>差分は diff.sha256</t>
        </is>
      </c>
    </row>
    <row r="12" ht="104" customHeight="1">
      <c r="D12" s="27" t="inlineStr">
        <is>
          <t>A-6</t>
        </is>
      </c>
      <c r="E12" s="28" t="inlineStr">
        <is>
          <t>rsync（新サーバから現行を pull）</t>
        </is>
      </c>
      <c r="F12" s="28" t="inlineStr">
        <is>
          <t>OS（新サーバ）</t>
        </is>
      </c>
      <c r="G12" s="29" t="inlineStr">
        <is>
          <t># 一時的な暗号互換（RHEL 9）。作業後に DEFAULT へ戻す
sudo update-crypto-policies --set LEGACY
# または ssh オプションで個別指定
RS_SSH='ssh -i ~/.ssh/mig_key -oHostKeyAlgorithms=+ssh-rsa -oPubkeyAcceptedAlgorithms=+ssh-rsa -oKexAlgorithms=+diffie-hellman-group14-sha1'
rsync -av --partial --append-verify --bwlimit=&lt;KB/s、任意&gt; -e "$RS_SSH" oracle@&lt;現行IP&gt;:/dpump/full_data01_*.dmp /disk3/dpump/
# 終了コード 0 を確認。中断時は同一コマンドで再開</t>
        </is>
      </c>
      <c r="H12" s="23" t="n"/>
      <c r="I12" s="23" t="n"/>
      <c r="J12" s="23" t="n"/>
      <c r="K12" s="23" t="n"/>
      <c r="L12" s="22" t="n"/>
      <c r="M12" s="28" t="inlineStr">
        <is>
          <t>push 方式（現行→新）にする場合は RHEL 9 の sshd 側で互換設定</t>
        </is>
      </c>
    </row>
    <row r="13" ht="104" customHeight="1">
      <c r="D13" s="27" t="inlineStr">
        <is>
          <t>A-7</t>
        </is>
      </c>
      <c r="E13" s="28" t="inlineStr">
        <is>
          <t>S3 アップロード（新サーバ）</t>
        </is>
      </c>
      <c r="F13" s="28" t="inlineStr">
        <is>
          <t>AWS CLI v2（新サーバ）</t>
        </is>
      </c>
      <c r="G13" s="29" t="inlineStr">
        <is>
          <t>aws configure set default.s3.multipart_chunksize 64MB
aws configure set default.s3.max_concurrent_requests 20
aws s3 cp /disk3/dpump/ s3://&lt;BUCKET&gt;/full/data/batch01/ --recursive --exclude '*' --include 'full_data01_*.dmp' \
  --sse aws:kms --sse-kms-key-id &lt;KMS_KEY_ARN&gt; --checksum-algorithm SHA256 --only-show-errors
aws s3 ls s3://&lt;BUCKET&gt;/full/data/batch01/ --summarize --human-readable | tail -2   # ファイル数・合計サイズ照合</t>
        </is>
      </c>
      <c r="H13" s="23" t="n"/>
      <c r="I13" s="23" t="n"/>
      <c r="J13" s="23" t="n"/>
      <c r="K13" s="23" t="n"/>
      <c r="L13" s="22" t="n"/>
      <c r="M13" s="28" t="inlineStr">
        <is>
          <t>同一リージョンの Gateway エンドポイント経由</t>
        </is>
      </c>
    </row>
    <row r="14" ht="166.5" customHeight="1">
      <c r="D14" s="27" t="inlineStr">
        <is>
          <t>A-8</t>
        </is>
      </c>
      <c r="E14" s="28" t="inlineStr">
        <is>
          <t>S3 → RDS ダウンロードとタスクログ</t>
        </is>
      </c>
      <c r="F14" s="28" t="inlineStr">
        <is>
          <t>sqlplus（RDS）</t>
        </is>
      </c>
      <c r="G14" s="29" t="inlineStr">
        <is>
          <t>SELECT rdsadmin.rdsadmin_s3_tasks.download_from_s3(
  p_bucket_name =&gt; '&lt;BUCKET&gt;', p_s3_prefix =&gt; 'full/data/batch01/', p_directory_name =&gt; 'DATA_PUMP_DIR') AS task_id FROM dual;
-- タスクログ（完了まで繰り返し確認）
SELECT text FROM TABLE(rdsadmin.rds_file_util.read_text_file('BDUMP','dbtask-&lt;TASK_ID&gt;.log'));
-- ファイル一覧・サイズ照合
SELECT filename, ROUND(filesize/1024/1024) mb, mtime FROM TABLE(rdsadmin.rds_file_util.listdir('DATA_PUMP_DIR')) ORDER BY 1;
-- ログの S3 退避
SELECT rdsadmin.rdsadmin_s3_tasks.upload_to_s3(p_bucket_name=&gt;'&lt;BUCKET&gt;', p_prefix=&gt;'imp_', p_s3_prefix=&gt;'logs/rds/', p_directory_name=&gt;'DATA_PUMP_DIR') FROM dual;</t>
        </is>
      </c>
      <c r="H14" s="23" t="n"/>
      <c r="I14" s="23" t="n"/>
      <c r="J14" s="23" t="n"/>
      <c r="K14" s="23" t="n"/>
      <c r="L14" s="22" t="n"/>
      <c r="M14" s="28" t="inlineStr">
        <is>
          <t>IAM ロールが S3_INTEGRATION で関連付いていること</t>
        </is>
      </c>
    </row>
    <row r="15" ht="541.5" customHeight="1">
      <c r="D15" s="27" t="inlineStr">
        <is>
          <t>A-9</t>
        </is>
      </c>
      <c r="E15" s="28" t="inlineStr">
        <is>
          <t>RDS への取込（impdp、新サーバの Instant Client から）</t>
        </is>
      </c>
      <c r="F15" s="28" t="inlineStr">
        <is>
          <t>impdp（新サーバ→RDS）</t>
        </is>
      </c>
      <c r="G15" s="29" t="inlineStr">
        <is>
          <t># imp_meta_pre.par（第 1 段：索引・制約・トリガー・統計を除く）
USERID=admin@&lt;RDS_TNS&gt;
DIRECTORY=DATA_PUMP_DIR
DUMPFILE=full_meta.dmp
LOGFILE=imp_meta_pre.log
SCHEMAS=&lt;SCHEMA1&gt;,&lt;SCHEMA2&gt;,...
EXCLUDE=INDEX,CONSTRAINT,REF_CONSTRAINT,TRIGGER,STATISTICS
# imp_data01.par
USERID=admin@&lt;RDS_TNS&gt;
DIRECTORY=DATA_PUMP_DIR
DUMPFILE=full_data01_%U.dmp
LOGFILE=imp_data01.log
CONTENT=DATA_ONLY
TABLE_EXISTS_ACTION=APPEND
PARALLEL=4
# imp_meta_post.par（第 2 段：索引・制約・トリガー）
USERID=admin@&lt;RDS_TNS&gt;
DIRECTORY=DATA_PUMP_DIR
DUMPFILE=full_meta.dmp
LOGFILE=imp_meta_post.log
SCHEMAS=&lt;SCHEMA1&gt;,&lt;SCHEMA2&gt;,...
INCLUDE=INDEX,CONSTRAINT,REF_CONSTRAINT,TRIGGER
PARALLEL=4
$ impdp PARFILE=imp_meta_pre.par
# ORA-31684（already exists）は想定内。ORA-39xxx は内容を確認
-- 参考：DBMS_DATAPUMP（PL/SQL）で実行する場合
DECLARE h NUMBER; BEGIN
  h := DBMS_DATAPUMP.OPEN(operation=&gt;'IMPORT', job_mode=&gt;'SCHEMA', job_name=&gt;'IMP_DATA01');
  DBMS_DATAPUMP.ADD_FILE(h, 'full_data01_%U.dmp', 'DATA_PUMP_DIR', filetype=&gt;DBMS_DATAPUMP.KU$_FILE_TYPE_DUMP_FILE);
  DBMS_DATAPUMP.ADD_FILE(h, 'imp_data01.log', 'DATA_PUMP_DIR', filetype=&gt;DBMS_DATAPUMP.KU$_FILE_TYPE_LOG_FILE);
  DBMS_DATAPUMP.SET_PARAMETER(h, 'INCLUDE_METADATA', 0);
  DBMS_DATAPUMP.SET_PARAMETER(h, 'TABLE_EXISTS_ACTION', 'APPEND');
  DBMS_DATAPUMP.SET_PARALLEL(h, 4);
  DBMS_DATAPUMP.START_JOB(h); DBMS_DATAPUMP.DETACH(h);
END;
/</t>
        </is>
      </c>
      <c r="H15" s="23" t="n"/>
      <c r="I15" s="23" t="n"/>
      <c r="J15" s="23" t="n"/>
      <c r="K15" s="23" t="n"/>
      <c r="L15" s="22" t="n"/>
      <c r="M15" s="28" t="inlineStr">
        <is>
          <t>impdp は RDS マスタユーザ（または DATAPUMP_IMP_FULL_DATABASE 付与ユーザ）で実行</t>
        </is>
      </c>
    </row>
    <row r="16" ht="129" customHeight="1">
      <c r="D16" s="27" t="inlineStr">
        <is>
          <t>A-10</t>
        </is>
      </c>
      <c r="E16" s="28" t="inlineStr">
        <is>
          <t>DATA_PUMP_DIR のファイル削除（RDS）</t>
        </is>
      </c>
      <c r="F16" s="28" t="inlineStr">
        <is>
          <t>sqlplus（RDS）</t>
        </is>
      </c>
      <c r="G16" s="29" t="inlineStr">
        <is>
          <t>EXEC UTL_FILE.FREMOVE('DATA_PUMP_DIR','full_data01_01.dmp');
-- 一括削除
BEGIN
  FOR f IN (SELECT filename FROM TABLE(rdsadmin.rds_file_util.listdir('DATA_PUMP_DIR')) WHERE filename LIKE 'full_data01_%.dmp') LOOP
    UTL_FILE.FREMOVE('DATA_PUMP_DIR', f.filename);
  END LOOP;
END;
/
-- 空き容量は CloudWatch FreeStorageSpace で確認</t>
        </is>
      </c>
      <c r="H16" s="23" t="n"/>
      <c r="I16" s="23" t="n"/>
      <c r="J16" s="23" t="n"/>
      <c r="K16" s="23" t="n"/>
      <c r="L16" s="22" t="n"/>
      <c r="M16" s="28" t="inlineStr">
        <is>
          <t>削除前に impdp ログの完了を確認</t>
        </is>
      </c>
    </row>
    <row r="17" ht="216.5" customHeight="1">
      <c r="D17" s="27" t="inlineStr">
        <is>
          <t>A-11</t>
        </is>
      </c>
      <c r="E17" s="28" t="inlineStr">
        <is>
          <t>事後処理（RDS）</t>
        </is>
      </c>
      <c r="F17" s="28" t="inlineStr">
        <is>
          <t>sqlplus（RDS）</t>
        </is>
      </c>
      <c r="G17" s="29" t="inlineStr">
        <is>
          <t>EXEC UTL_RECOMP.RECOMP_PARALLEL(4);
SELECT owner, object_type, object_name FROM dba_objects WHERE status='INVALID' AND owner IN (&lt;対象スキーマ&gt;) ORDER BY 1,2,3;
EXEC DBMS_STATS.GATHER_SCHEMA_STATS(ownname=&gt;'&lt;SCHEMA1&gt;', degree=&gt;4, cascade=&gt;TRUE, options=&gt;'GATHER');
EXEC DBMS_STATS.GATHER_DICTIONARY_STATS;
EXEC DBMS_STATS.GATHER_FIXED_OBJECTS_STATS;
-- SYS オブジェクトへの権限付与（RDS）
EXEC rdsadmin.rdsadmin_util.grant_sys_object(p_obj_name=&gt;'V_$SESSION', p_grantee=&gt;'&lt;SCHEMA1&gt;', p_privilege=&gt;'SELECT');
-- 制約・索引・トリガー状態
SELECT status, validated, COUNT(*) FROM dba_constraints WHERE owner IN (&lt;対象スキーマ&gt;) GROUP BY status, validated;
SELECT status, COUNT(*) FROM dba_indexes WHERE owner IN (&lt;対象スキーマ&gt;) GROUP BY status;
SELECT status, COUNT(*) FROM dba_triggers WHERE owner IN (&lt;対象スキーマ&gt;) GROUP BY status;</t>
        </is>
      </c>
      <c r="H17" s="23" t="n"/>
      <c r="I17" s="23" t="n"/>
      <c r="J17" s="23" t="n"/>
      <c r="K17" s="23" t="n"/>
      <c r="L17" s="22" t="n"/>
      <c r="M17" s="28" t="inlineStr"/>
    </row>
    <row r="18" ht="429" customHeight="1">
      <c r="D18" s="27" t="inlineStr">
        <is>
          <t>A-12</t>
        </is>
      </c>
      <c r="E18" s="28" t="inlineStr">
        <is>
          <t>差分エクスポート（現行、S1 時点）</t>
        </is>
      </c>
      <c r="F18" s="28" t="inlineStr">
        <is>
          <t>expdp（現行）</t>
        </is>
      </c>
      <c r="G18" s="29" t="inlineStr">
        <is>
          <t># exp_diff_A.par（方式A）
USERID=MIGADMIN
DIRECTORY=DPUMP_MIG
DUMPFILE=diffA_%U.dmp
LOGFILE=diffA.log
TABLES=&lt;SCHEMA1&gt;.&lt;TBL_A1&gt;,&lt;SCHEMA1&gt;.&lt;TBL_A2&gt;,...
CONTENT=DATA_ONLY
FLASHBACK_SCN=&lt;S1&gt;
PARALLEL=2
QUERY=&lt;SCHEMA1&gt;.&lt;TBL_A1&gt;:"WHERE NVL(updatedate, createdate) &gt;= TO_DATE('&lt;T0-24h&gt;','YYYY-MM-DD HH24:MI:SS')"
QUERY=&lt;SCHEMA1&gt;.&lt;TBL_A2&gt;:"WHERE NVL(updatedate, createdate) &gt;= TO_DATE('&lt;T0-24h&gt;','YYYY-MM-DD HH24:MI:SS')"
# exp_diff_B.par（方式B）
USERID=MIGADMIN
DIRECTORY=DPUMP_MIG
DUMPFILE=diffB_%U.dmp
LOGFILE=diffB.log
TABLES=&lt;SCHEMA1&gt;.&lt;TBL_B1&gt;,&lt;SCHEMA2&gt;.&lt;TBL_B2&gt;,...
CONTENT=DATA_ONLY
FLASHBACK_SCN=&lt;S1&gt;
PARALLEL=4
FILESIZE=20G
# exp_seq.par（シーケンス）
USERID=MIGADMIN
DIRECTORY=DPUMP_MIG
DUMPFILE=seq.dmp
LOGFILE=seq.log
SCHEMAS=&lt;SCHEMA1&gt;,&lt;SCHEMA2&gt;
CONTENT=METADATA_ONLY
INCLUDE=SEQUENCE
FLASHBACK_SCN=&lt;S1&gt;</t>
        </is>
      </c>
      <c r="H18" s="23" t="n"/>
      <c r="I18" s="23" t="n"/>
      <c r="J18" s="23" t="n"/>
      <c r="K18" s="23" t="n"/>
      <c r="L18" s="22" t="n"/>
      <c r="M18" s="28" t="inlineStr">
        <is>
          <t>QUERY の引用符はパラメータファイル内ではエスケープ不要</t>
        </is>
      </c>
    </row>
    <row r="19" ht="329" customHeight="1">
      <c r="D19" s="27" t="inlineStr">
        <is>
          <t>A-13</t>
        </is>
      </c>
      <c r="E19" s="28" t="inlineStr">
        <is>
          <t>方式B の取込（RDS）</t>
        </is>
      </c>
      <c r="F19" s="28" t="inlineStr">
        <is>
          <t>sqlplus／impdp（RDS）</t>
        </is>
      </c>
      <c r="G19" s="29" t="inlineStr">
        <is>
          <t>-- 1) 対象表を参照する FK とトリガーを無効化（生成 SQL）
SELECT 'ALTER TABLE '||owner||'.'||table_name||' DISABLE CONSTRAINT '||constraint_name||';' FROM dba_constraints
 WHERE constraint_type='R' AND r_constraint_name IN (SELECT constraint_name FROM dba_constraints WHERE owner='&lt;SCHEMA1&gt;' AND table_name IN (&lt;方式B表&gt;) AND constraint_type IN ('P','U'));
SELECT 'ALTER TRIGGER '||owner||'.'||trigger_name||' DISABLE;' FROM dba_triggers WHERE table_owner='&lt;SCHEMA1&gt;' AND table_name IN (&lt;方式B表&gt;);
-- 2) 取込（imp_diff_B.par）
USERID=admin@&lt;RDS_TNS&gt;
DIRECTORY=DATA_PUMP_DIR
DUMPFILE=diffB_%U.dmp
LOGFILE=imp_diffB.log
CONTENT=DATA_ONLY
TABLE_EXISTS_ACTION=TRUNCATE
PARALLEL=4
-- 3) 有効化
SELECT 'ALTER TABLE '||owner||'.'||table_name||' ENABLE VALIDATE CONSTRAINT '||constraint_name||';' FROM dba_constraints WHERE status='DISABLED' AND owner IN (&lt;対象スキーマ&gt;);
SELECT 'ALTER TRIGGER '||owner||'.'||trigger_name||' ENABLE;' FROM dba_triggers WHERE status='DISABLED' AND owner IN (&lt;対象スキーマ&gt;);
SELECT owner, index_name FROM dba_indexes WHERE status='UNUSABLE' AND owner IN (&lt;対象スキーマ&gt;);</t>
        </is>
      </c>
      <c r="H19" s="23" t="n"/>
      <c r="I19" s="23" t="n"/>
      <c r="J19" s="23" t="n"/>
      <c r="K19" s="23" t="n"/>
      <c r="L19" s="22" t="n"/>
      <c r="M19" s="28" t="inlineStr">
        <is>
          <t>TRUNCATE は FK 参照があると ORA-02266</t>
        </is>
      </c>
    </row>
    <row r="20" ht="541.5" customHeight="1">
      <c r="D20" s="27" t="inlineStr">
        <is>
          <t>A-14</t>
        </is>
      </c>
      <c r="E20" s="28" t="inlineStr">
        <is>
          <t>方式A の取込と MERGE（RDS）</t>
        </is>
      </c>
      <c r="F20" s="28" t="inlineStr">
        <is>
          <t>impdp／sqlplus（RDS）</t>
        </is>
      </c>
      <c r="G20" s="29" t="inlineStr">
        <is>
          <t># imp_diff_A.par
USERID=admin@&lt;RDS_TNS&gt;
DIRECTORY=DATA_PUMP_DIR
DUMPFILE=diffA_%U.dmp
LOGFILE=imp_diffA.log
CONTENT=DATA_ONLY
REMAP_SCHEMA=&lt;SCHEMA1&gt;:&lt;SCHEMA1&gt;_DIFF
TABLE_EXISTS_ACTION=TRUNCATE
-- MERGE 文の生成（主キー列・非キー列を辞書から組み立て）
SELECT 'MERGE INTO '||o||'.'||t||' d USING '||o||'_DIFF.'||t||' s ON ('||pk||') WHEN MATCHED THEN UPDATE SET '||upd||' WHEN NOT MATCHED THEN INSERT ('||cols||') VALUES ('||scols||');'
FROM (SELECT c.owner o, c.table_name t,
  LISTAGG('d.'||cc.column_name||'=s.'||cc.column_name, ' AND ') WITHIN GROUP (ORDER BY cc.position) pk,
  (SELECT LISTAGG('d.'||k.column_name||'=s.'||k.column_name, ', ') WITHIN GROUP (ORDER BY k.column_id) FROM dba_tab_columns k WHERE k.owner=c.owner AND k.table_name=c.table_name
     AND k.column_name NOT IN (SELECT column_name FROM dba_cons_columns WHERE owner=c.owner AND constraint_name=c.constraint_name)) upd,
  (SELECT LISTAGG(k.column_name, ', ') WITHIN GROUP (ORDER BY k.column_id) FROM dba_tab_columns k WHERE k.owner=c.owner AND k.table_name=c.table_name) cols,
  (SELECT LISTAGG('s.'||k.column_name, ', ') WITHIN GROUP (ORDER BY k.column_id) FROM dba_tab_columns k WHERE k.owner=c.owner AND k.table_name=c.table_name) scols
  FROM dba_constraints c JOIN dba_cons_columns cc ON cc.owner=c.owner AND cc.constraint_name=c.constraint_name
  WHERE c.constraint_type='P' AND c.owner='&lt;SCHEMA1&gt;' AND c.table_name IN (&lt;方式A表&gt;) GROUP BY c.owner, c.table_name, c.constraint_name);
-- 実行例（生成した MERGE を実行し件数を記録）
SET SERVEROUTPUT ON
BEGIN
  MERGE INTO &lt;SCHEMA1&gt;.&lt;TBL&gt; d USING &lt;SCHEMA1&gt;_DIFF.&lt;TBL&gt; s ON (d.ID=s.ID)
  WHEN MATCHED THEN UPDATE SET d.COL1=s.COL1, d.COL2=s.COL2, d.UPDATEDATE=s.UPDATEDATE
  WHEN NOT MATCHED THEN INSERT (ID, COL1, COL2, CREATEDATE, UPDATEDATE) VALUES (s.ID, s.COL1, s.COL2, s.CREATEDATE, s.UPDATEDATE);
  DBMS_OUTPUT.PUT_LINE('&lt;TBL&gt; merged rows='||SQL%ROWCOUNT); COMMIT;
END;
/</t>
        </is>
      </c>
      <c r="H20" s="23" t="n"/>
      <c r="I20" s="23" t="n"/>
      <c r="J20" s="23" t="n"/>
      <c r="K20" s="23" t="n"/>
      <c r="L20" s="22" t="n"/>
      <c r="M20" s="28" t="inlineStr">
        <is>
          <r>
            <rPr>
              <rFont val="ＭＳ Ｐゴシック"/>
              <color rgb="00000000"/>
              <sz val="9"/>
            </rPr>
            <t>LISTAGG の 4000 バイト制限に注意（列数の多い表は手書き）。トリガーの一時無効化は</t>
          </r>
          <r>
            <rPr>
              <rFont val="ＭＳ Ｐゴシック"/>
              <b val="1"/>
              <color rgb="00FF0000"/>
              <sz val="9"/>
            </rPr>
            <t>【要確認】</t>
          </r>
        </is>
      </c>
    </row>
    <row r="21" ht="216.5" customHeight="1">
      <c r="D21" s="27" t="inlineStr">
        <is>
          <t>A-15</t>
        </is>
      </c>
      <c r="E21" s="28" t="inlineStr">
        <is>
          <t>シーケンスの同期（RDS）</t>
        </is>
      </c>
      <c r="F21" s="28" t="inlineStr">
        <is>
          <t>sqlplus（RDS）</t>
        </is>
      </c>
      <c r="G21" s="29" t="inlineStr">
        <is>
          <t>-- 現行の LAST_NUMBER（S1 時点）と比較し不足分を進める
DECLARE v_cur NUMBER; v_target NUMBER := &lt;現行の LAST_NUMBER&gt;; v_inc NUMBER; BEGIN
  SELECT last_number, increment_by INTO v_cur, v_inc FROM dba_sequences WHERE sequence_owner='&lt;SCHEMA1&gt;' AND sequence_name='&lt;SEQ&gt;';
  IF v_target &gt; v_cur THEN
    EXECUTE IMMEDIATE 'ALTER SEQUENCE &lt;SCHEMA1&gt;.&lt;SEQ&gt; INCREMENT BY '||(v_target - v_cur)||' NOCACHE';
    EXECUTE IMMEDIATE 'SELECT &lt;SCHEMA1&gt;.&lt;SEQ&gt;.NEXTVAL FROM dual' INTO v_cur;
    EXECUTE IMMEDIATE 'ALTER SEQUENCE &lt;SCHEMA1&gt;.&lt;SEQ&gt; INCREMENT BY '||v_inc||' CACHE 20';
  END IF;
END;
/
-- 確認
SELECT sequence_owner, sequence_name, last_number FROM dba_sequences WHERE sequence_owner IN (&lt;対象スキーマ&gt;) ORDER BY 1,2;</t>
        </is>
      </c>
      <c r="H21" s="23" t="n"/>
      <c r="I21" s="23" t="n"/>
      <c r="J21" s="23" t="n"/>
      <c r="K21" s="23" t="n"/>
      <c r="L21" s="22" t="n"/>
      <c r="M21" s="28" t="inlineStr">
        <is>
          <t>CACHE 値は現行に合わせる。全シーケンスをループ処理するスクリプト化を推奨</t>
        </is>
      </c>
    </row>
    <row r="22" ht="216.5" customHeight="1">
      <c r="D22" s="27" t="inlineStr">
        <is>
          <t>A-16</t>
        </is>
      </c>
      <c r="E22" s="28" t="inlineStr">
        <is>
          <t>件数・ハッシュ照合（現行／RDS）</t>
        </is>
      </c>
      <c r="F22" s="28" t="inlineStr">
        <is>
          <t>sqlplus（両方）</t>
        </is>
      </c>
      <c r="G22" s="29" t="inlineStr">
        <is>
          <t>-- 件数（全表、動的 SQL）
SET SERVEROUTPUT ON SIZE UNLIMITED
BEGIN
  FOR t IN (SELECT owner, table_name FROM dba_tables WHERE owner IN (&lt;対象スキーマ&gt;) ORDER BY 1,2) LOOP
    EXECUTE IMMEDIATE 'SELECT COUNT(*) FROM '||t.owner||'.'||t.table_name||' &lt;AS OF SCN &lt;S0&gt;（現行のみ・UNDO 残存時）&gt;' INTO :n;
    DBMS_OUTPUT.PUT_LINE(t.owner||','||t.table_name||','||:n);
  END LOOP;
END;
/
-- ハッシュ（主要表：主キー順の SELECT を DBMS_SQLHASH で）
SELECT DBMS_SQLHASH.GETHASH('SELECT * FROM &lt;SCHEMA1&gt;.&lt;TBL&gt; ORDER BY &lt;PK&gt;', 3) FROM dual;   -- 3=SHA-1
-- 代替（列連結の ORA_HASH 合計）
SELECT COUNT(*), SUM(ORA_HASH(&lt;PK&gt;||'|'||&lt;COL1&gt;||'|'||TO_CHAR(&lt;DATE_COL&gt;,'YYYYMMDDHH24MISS'))) FROM &lt;SCHEMA1&gt;.&lt;TBL&gt;;</t>
        </is>
      </c>
      <c r="H22" s="23" t="n"/>
      <c r="I22" s="23" t="n"/>
      <c r="J22" s="23" t="n"/>
      <c r="K22" s="23" t="n"/>
      <c r="L22" s="22" t="n"/>
      <c r="M22" s="28" t="inlineStr">
        <is>
          <t>expdp ログの行数（S0 時点）を第一の基準とし、COUNT は補助。DBMS_SQLHASH は EXECUTE 権限が必要</t>
        </is>
      </c>
    </row>
    <row r="23" ht="266.5" customHeight="1">
      <c r="D23" s="27" t="inlineStr">
        <is>
          <t>A-17</t>
        </is>
      </c>
      <c r="E23" s="28" t="inlineStr">
        <is>
          <t>RDS の基点スナップショットへの復元（識別子付替え）</t>
        </is>
      </c>
      <c r="F23" s="28" t="inlineStr">
        <is>
          <t>AWS CLI（新サーバ）</t>
        </is>
      </c>
      <c r="G23" s="29" t="inlineStr">
        <is>
          <t># 1) 現行インスタンスを退避名へ変更
aws rds modify-db-instance --db-instance-identifier icdbh01 --new-db-instance-identifier icdbh01-verify --apply-immediately
aws rds wait db-instance-available --db-instance-identifier icdbh01-verify
# 2) 基点スナップショットから元の識別子で復元
aws rds restore-db-instance-from-db-snapshot --db-instance-identifier icdbh01 --db-snapshot-identifier icdbh01-baseline-&lt;YYYYMMDD&gt; \
  --db-instance-class db.m6i.4xlarge --db-subnet-group-name &lt;SUBNET_GRP&gt; --vpc-security-group-ids &lt;SG_ID&gt; --option-group-name &lt;OPT_GRP&gt; --db-parameter-group-name &lt;PARAM_GRP&gt; \
  --no-publicly-accessible --deletion-protection --storage-type gp3 --license-model bring-your-own-license --copy-tags-to-snapshot
aws rds wait db-instance-available --db-instance-identifier icdbh01
# 3) S3 統合ロールの再関連付け
aws rds add-role-to-db-instance --db-instance-identifier icdbh01 --role-arn &lt;ROLE_ARN&gt; --feature-name S3_INTEGRATION
# 4) エンドポイント確認
aws rds describe-db-instances --db-instance-identifier icdbh01 --query 'DBInstances[0].Endpoint.Address'
# 5) 退避インスタンスは停止（切替成功後に削除）
aws rds stop-db-instance --db-instance-identifier icdbh01-verify</t>
        </is>
      </c>
      <c r="H23" s="23" t="n"/>
      <c r="I23" s="23" t="n"/>
      <c r="J23" s="23" t="n"/>
      <c r="K23" s="23" t="n"/>
      <c r="L23" s="22" t="n"/>
      <c r="M23" s="28" t="inlineStr">
        <is>
          <t>識別子の変更は DNS の反映に時間を要する。パラメータグループの動的でない値は再起動が必要</t>
        </is>
      </c>
    </row>
    <row r="24" ht="54" customHeight="1">
      <c r="D24" s="27" t="inlineStr">
        <is>
          <t>A-18</t>
        </is>
      </c>
      <c r="E24" s="28" t="inlineStr">
        <is>
          <t>スナップショットの取得（RDS）</t>
        </is>
      </c>
      <c r="F24" s="28" t="inlineStr">
        <is>
          <t>AWS CLI（新サーバ）</t>
        </is>
      </c>
      <c r="G24" s="29" t="inlineStr">
        <is>
          <t>aws rds create-db-snapshot --db-instance-identifier icdbh01 --db-snapshot-identifier icdbh01-baseline-&lt;YYYYMMDD&gt;
aws rds wait db-snapshot-available --db-snapshot-identifier icdbh01-baseline-&lt;YYYYMMDD&gt;</t>
        </is>
      </c>
      <c r="H24" s="23" t="n"/>
      <c r="I24" s="23" t="n"/>
      <c r="J24" s="23" t="n"/>
      <c r="K24" s="23" t="n"/>
      <c r="L24" s="22" t="n"/>
      <c r="M24" s="28" t="inlineStr">
        <is>
          <t>切替直後は icdbh01-cutover-&lt;YYYYMMDD&gt;</t>
        </is>
      </c>
    </row>
    <row r="25" ht="66.5" customHeight="1">
      <c r="D25" s="27" t="inlineStr">
        <is>
          <t>A-19</t>
        </is>
      </c>
      <c r="E25" s="28" t="inlineStr">
        <is>
          <t>方式C の変更有無確認（現行）</t>
        </is>
      </c>
      <c r="F25" s="28" t="inlineStr">
        <is>
          <t>sqlplus（現行）</t>
        </is>
      </c>
      <c r="G25" s="29" t="inlineStr">
        <is>
          <t>SELECT COUNT(*) cnt, MAX(ORA_ROWSCN) max_scn FROM &lt;SCHEMA1&gt;.&lt;TBL_C&gt;;
-- max_scn &lt;= S0 かつ cnt = 初期取込件数 → 変更なし。max_scn &gt; S0 → 方式B へ変更
-- 参考：SCN の時刻
SELECT SCN_TO_TIMESTAMP(&lt;max_scn&gt;) FROM dual;</t>
        </is>
      </c>
      <c r="H25" s="23" t="n"/>
      <c r="I25" s="23" t="n"/>
      <c r="J25" s="23" t="n"/>
      <c r="K25" s="23" t="n"/>
      <c r="L25" s="22" t="n"/>
      <c r="M25" s="28" t="inlineStr">
        <is>
          <t>ORA_ROWSCN はブロック単位のため「変更あり」の過検出はあるが見逃しはない</t>
        </is>
      </c>
    </row>
  </sheetData>
  <mergeCells count="22">
    <mergeCell ref="G19:L19"/>
    <mergeCell ref="G10:L10"/>
    <mergeCell ref="G6:L6"/>
    <mergeCell ref="D3:M3"/>
    <mergeCell ref="G13:L13"/>
    <mergeCell ref="G18:L18"/>
    <mergeCell ref="B1:M1"/>
    <mergeCell ref="G15:L15"/>
    <mergeCell ref="G24:L24"/>
    <mergeCell ref="G14:L14"/>
    <mergeCell ref="G20:L20"/>
    <mergeCell ref="G25:L25"/>
    <mergeCell ref="G16:L16"/>
    <mergeCell ref="G22:L22"/>
    <mergeCell ref="G9:L9"/>
    <mergeCell ref="G12:L12"/>
    <mergeCell ref="G21:L21"/>
    <mergeCell ref="G11:L11"/>
    <mergeCell ref="G17:L17"/>
    <mergeCell ref="G23:L23"/>
    <mergeCell ref="G8:L8"/>
    <mergeCell ref="G7:L7"/>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B1:R29"/>
  <sheetViews>
    <sheetView showGridLines="0" zoomScale="85" workbookViewId="0">
      <selection activeCell="A1" sqref="A1"/>
    </sheetView>
  </sheetViews>
  <sheetFormatPr baseColWidth="8" defaultRowHeight="15"/>
  <cols>
    <col width="2.5" customWidth="1" min="1" max="1"/>
    <col width="2.5" customWidth="1" min="2" max="2"/>
    <col width="2.5" customWidth="1" min="3" max="3"/>
    <col width="5" customWidth="1" min="4" max="4"/>
    <col width="12" customWidth="1" min="5" max="5"/>
    <col width="22" customWidth="1" min="6" max="6"/>
    <col width="13" customWidth="1" min="7" max="7"/>
    <col width="9" customWidth="1" min="8" max="8"/>
    <col width="7" customWidth="1" min="9" max="9"/>
    <col width="10" customWidth="1" min="10" max="10"/>
    <col width="10" customWidth="1" min="11" max="11"/>
    <col width="16" customWidth="1" min="12" max="12"/>
    <col width="9" customWidth="1" min="13" max="13"/>
    <col width="12" customWidth="1" min="14" max="14"/>
    <col width="9" customWidth="1" min="15" max="15"/>
    <col width="8" customWidth="1" min="16" max="16"/>
    <col width="9" customWidth="1" min="17" max="17"/>
    <col width="22" customWidth="1" min="18" max="18"/>
  </cols>
  <sheetData>
    <row r="1" ht="24" customHeight="1">
      <c r="B1" s="18" t="inlineStr">
        <is>
          <t>付録B. 差分方式判定表（テンプレート）</t>
        </is>
      </c>
    </row>
    <row r="2" ht="4" customHeight="1"/>
    <row r="3" ht="31" customHeight="1">
      <c r="D3" s="7" t="inlineStr">
        <is>
          <t>3.6 の手順で移行対象の全表について記入する。黄色のセルが記入欄（事前調査 SQL A-1 の出力を貼り付け、調査結果を追記する）。最下部の集計行は数式で自動計算される。「例」の行は記入例であり、実際の表一覧で置き換える。</t>
        </is>
      </c>
    </row>
    <row r="4" ht="31" customHeight="1">
      <c r="D4" s="7" t="inlineStr">
        <is>
          <t>判定の目安：方式A＝主キーあり・updatedate 確実・物理削除なし／方式B＝それ以外（不確実なものは B）／方式C＝検証期間中に更新なし（業務主管確認）。</t>
        </is>
      </c>
    </row>
    <row r="5" ht="17.5" customHeight="1">
      <c r="D5" s="7" t="inlineStr">
        <is>
          <r>
            <rPr>
              <rFont val="ＭＳ Ｐゴシック"/>
              <color rgb="00000000"/>
              <sz val="10"/>
            </rPr>
            <t>取込バッチは 1 バッチ 300GB 以下を目安に割り当てる（バッチ容量の上限は RDS の空き容量から決定</t>
          </r>
          <r>
            <rPr>
              <rFont val="ＭＳ Ｐゴシック"/>
              <b val="1"/>
              <color rgb="00FF0000"/>
              <sz val="10"/>
            </rPr>
            <t>【要確認】</t>
          </r>
          <r>
            <rPr>
              <rFont val="ＭＳ Ｐゴシック"/>
              <color rgb="00000000"/>
              <sz val="10"/>
            </rPr>
            <t>）。</t>
          </r>
        </is>
      </c>
    </row>
    <row r="6" ht="6" customHeight="1"/>
    <row r="7" ht="30" customHeight="1">
      <c r="D7" s="30" t="inlineStr">
        <is>
          <t>No</t>
        </is>
      </c>
      <c r="E7" s="30" t="inlineStr">
        <is>
          <t>スキーマ</t>
        </is>
      </c>
      <c r="F7" s="30" t="inlineStr">
        <is>
          <t>表名</t>
        </is>
      </c>
      <c r="G7" s="30" t="inlineStr">
        <is>
          <t>件数</t>
        </is>
      </c>
      <c r="H7" s="30" t="inlineStr">
        <is>
          <t>サイズ(GB)</t>
        </is>
      </c>
      <c r="I7" s="30" t="inlineStr">
        <is>
          <t>主キー</t>
        </is>
      </c>
      <c r="J7" s="30" t="inlineStr">
        <is>
          <t>updatedate列</t>
        </is>
      </c>
      <c r="K7" s="30" t="inlineStr">
        <is>
          <t>createdate列</t>
        </is>
      </c>
      <c r="L7" s="30" t="inlineStr">
        <is>
          <t>updatedate信頼性
（調査結果）</t>
        </is>
      </c>
      <c r="M7" s="30" t="inlineStr">
        <is>
          <t>削除方式</t>
        </is>
      </c>
      <c r="N7" s="30" t="inlineStr">
        <is>
          <t>週次更新量
（件・GB推定）</t>
        </is>
      </c>
      <c r="O7" s="30" t="inlineStr">
        <is>
          <t>判定方式
（A/B/C）</t>
        </is>
      </c>
      <c r="P7" s="30" t="inlineStr">
        <is>
          <t>取込バッチ</t>
        </is>
      </c>
      <c r="Q7" s="30" t="inlineStr">
        <is>
          <t>差分所要
目安(分)</t>
        </is>
      </c>
      <c r="R7" s="30" t="inlineStr">
        <is>
          <t>備考</t>
        </is>
      </c>
    </row>
    <row r="8" ht="30" customHeight="1">
      <c r="D8" s="31" t="inlineStr">
        <is>
          <t>例1</t>
        </is>
      </c>
      <c r="E8" s="32" t="inlineStr">
        <is>
          <t>SCHEMA1</t>
        </is>
      </c>
      <c r="F8" s="32" t="inlineStr">
        <is>
          <t>M_CUSTOMER</t>
        </is>
      </c>
      <c r="G8" s="33" t="n">
        <v>2500000</v>
      </c>
      <c r="H8" s="34" t="n">
        <v>12.5</v>
      </c>
      <c r="I8" s="31" t="inlineStr">
        <is>
          <t>有</t>
        </is>
      </c>
      <c r="J8" s="31" t="inlineStr">
        <is>
          <t>有</t>
        </is>
      </c>
      <c r="K8" s="31" t="inlineStr">
        <is>
          <t>有</t>
        </is>
      </c>
      <c r="L8" s="32" t="inlineStr">
        <is>
          <t>全経路で更新（AP・バッチ・ASTERIA 確認済）</t>
        </is>
      </c>
      <c r="M8" s="31" t="inlineStr">
        <is>
          <t>論理</t>
        </is>
      </c>
      <c r="N8" s="32" t="inlineStr">
        <is>
          <t>約 30,000 件／0.2GB</t>
        </is>
      </c>
      <c r="O8" s="31" t="inlineStr">
        <is>
          <t>A</t>
        </is>
      </c>
      <c r="P8" s="31" t="inlineStr">
        <is>
          <t>01</t>
        </is>
      </c>
      <c r="Q8" s="31" t="n">
        <v>5</v>
      </c>
      <c r="R8" s="32" t="inlineStr">
        <is>
          <t>主要表。MERGE 対象。ハッシュ照合</t>
        </is>
      </c>
    </row>
    <row r="9" ht="30" customHeight="1">
      <c r="D9" s="31" t="inlineStr">
        <is>
          <t>例2</t>
        </is>
      </c>
      <c r="E9" s="32" t="inlineStr">
        <is>
          <t>SCHEMA1</t>
        </is>
      </c>
      <c r="F9" s="32" t="inlineStr">
        <is>
          <t>T_TRANSACTION</t>
        </is>
      </c>
      <c r="G9" s="33" t="n">
        <v>180000000</v>
      </c>
      <c r="H9" s="34" t="n">
        <v>620</v>
      </c>
      <c r="I9" s="31" t="inlineStr">
        <is>
          <t>有</t>
        </is>
      </c>
      <c r="J9" s="31" t="inlineStr">
        <is>
          <t>有</t>
        </is>
      </c>
      <c r="K9" s="31" t="inlineStr">
        <is>
          <t>有</t>
        </is>
      </c>
      <c r="L9" s="32" t="inlineStr">
        <is>
          <t>バッチの一部で未更新</t>
        </is>
      </c>
      <c r="M9" s="31" t="inlineStr">
        <is>
          <t>物理</t>
        </is>
      </c>
      <c r="N9" s="32" t="inlineStr">
        <is>
          <t>約 2,000,000 件／8GB</t>
        </is>
      </c>
      <c r="O9" s="31" t="inlineStr">
        <is>
          <t>B</t>
        </is>
      </c>
      <c r="P9" s="31" t="inlineStr">
        <is>
          <t>02</t>
        </is>
      </c>
      <c r="Q9" s="31" t="n">
        <v>90</v>
      </c>
      <c r="R9" s="32" t="inlineStr">
        <is>
          <t>物理削除あり。4h 判定の主要因（方式C 化・変更ログトリガーを検討）【要確認】</t>
        </is>
      </c>
    </row>
    <row r="10" ht="30" customHeight="1">
      <c r="D10" s="31" t="inlineStr">
        <is>
          <t>例3</t>
        </is>
      </c>
      <c r="E10" s="32" t="inlineStr">
        <is>
          <t>SCHEMA2</t>
        </is>
      </c>
      <c r="F10" s="32" t="inlineStr">
        <is>
          <t>M_ORG</t>
        </is>
      </c>
      <c r="G10" s="33" t="n">
        <v>12000</v>
      </c>
      <c r="H10" s="34" t="n">
        <v>0.1</v>
      </c>
      <c r="I10" s="31" t="inlineStr">
        <is>
          <t>有</t>
        </is>
      </c>
      <c r="J10" s="31" t="inlineStr">
        <is>
          <t>無</t>
        </is>
      </c>
      <c r="K10" s="31" t="inlineStr">
        <is>
          <t>無</t>
        </is>
      </c>
      <c r="L10" s="32" t="inlineStr">
        <is>
          <t>－</t>
        </is>
      </c>
      <c r="M10" s="31" t="inlineStr">
        <is>
          <t>物理</t>
        </is>
      </c>
      <c r="N10" s="32" t="inlineStr">
        <is>
          <t>春秋の組織変更時のみ</t>
        </is>
      </c>
      <c r="O10" s="31" t="inlineStr">
        <is>
          <t>C</t>
        </is>
      </c>
      <c r="P10" s="31" t="inlineStr">
        <is>
          <t>－</t>
        </is>
      </c>
      <c r="Q10" s="31" t="n">
        <v>2</v>
      </c>
      <c r="R10" s="32" t="inlineStr">
        <is>
          <t>業務主管確認済み。切替時に ORA_ROWSCN で確認</t>
        </is>
      </c>
    </row>
    <row r="11" ht="16" customHeight="1">
      <c r="D11" s="35" t="n"/>
      <c r="E11" s="35" t="n"/>
      <c r="F11" s="35" t="n"/>
      <c r="G11" s="35" t="n"/>
      <c r="H11" s="35" t="n"/>
      <c r="I11" s="35" t="n"/>
      <c r="J11" s="35" t="n"/>
      <c r="K11" s="35" t="n"/>
      <c r="L11" s="35" t="n"/>
      <c r="M11" s="35" t="n"/>
      <c r="N11" s="35" t="n"/>
      <c r="O11" s="35" t="n"/>
      <c r="P11" s="35" t="n"/>
      <c r="Q11" s="35" t="n"/>
      <c r="R11" s="35" t="n"/>
    </row>
    <row r="12" ht="16" customHeight="1">
      <c r="D12" s="35" t="n"/>
      <c r="E12" s="35" t="n"/>
      <c r="F12" s="35" t="n"/>
      <c r="G12" s="35" t="n"/>
      <c r="H12" s="35" t="n"/>
      <c r="I12" s="35" t="n"/>
      <c r="J12" s="35" t="n"/>
      <c r="K12" s="35" t="n"/>
      <c r="L12" s="35" t="n"/>
      <c r="M12" s="35" t="n"/>
      <c r="N12" s="35" t="n"/>
      <c r="O12" s="35" t="n"/>
      <c r="P12" s="35" t="n"/>
      <c r="Q12" s="35" t="n"/>
      <c r="R12" s="35" t="n"/>
    </row>
    <row r="13" ht="16" customHeight="1">
      <c r="D13" s="35" t="n"/>
      <c r="E13" s="35" t="n"/>
      <c r="F13" s="35" t="n"/>
      <c r="G13" s="35" t="n"/>
      <c r="H13" s="35" t="n"/>
      <c r="I13" s="35" t="n"/>
      <c r="J13" s="35" t="n"/>
      <c r="K13" s="35" t="n"/>
      <c r="L13" s="35" t="n"/>
      <c r="M13" s="35" t="n"/>
      <c r="N13" s="35" t="n"/>
      <c r="O13" s="35" t="n"/>
      <c r="P13" s="35" t="n"/>
      <c r="Q13" s="35" t="n"/>
      <c r="R13" s="35" t="n"/>
    </row>
    <row r="14" ht="16" customHeight="1">
      <c r="D14" s="35" t="n"/>
      <c r="E14" s="35" t="n"/>
      <c r="F14" s="35" t="n"/>
      <c r="G14" s="35" t="n"/>
      <c r="H14" s="35" t="n"/>
      <c r="I14" s="35" t="n"/>
      <c r="J14" s="35" t="n"/>
      <c r="K14" s="35" t="n"/>
      <c r="L14" s="35" t="n"/>
      <c r="M14" s="35" t="n"/>
      <c r="N14" s="35" t="n"/>
      <c r="O14" s="35" t="n"/>
      <c r="P14" s="35" t="n"/>
      <c r="Q14" s="35" t="n"/>
      <c r="R14" s="35" t="n"/>
    </row>
    <row r="15" ht="16" customHeight="1">
      <c r="D15" s="35" t="n"/>
      <c r="E15" s="35" t="n"/>
      <c r="F15" s="35" t="n"/>
      <c r="G15" s="35" t="n"/>
      <c r="H15" s="35" t="n"/>
      <c r="I15" s="35" t="n"/>
      <c r="J15" s="35" t="n"/>
      <c r="K15" s="35" t="n"/>
      <c r="L15" s="35" t="n"/>
      <c r="M15" s="35" t="n"/>
      <c r="N15" s="35" t="n"/>
      <c r="O15" s="35" t="n"/>
      <c r="P15" s="35" t="n"/>
      <c r="Q15" s="35" t="n"/>
      <c r="R15" s="35" t="n"/>
    </row>
    <row r="16" ht="16" customHeight="1">
      <c r="D16" s="35" t="n"/>
      <c r="E16" s="35" t="n"/>
      <c r="F16" s="35" t="n"/>
      <c r="G16" s="35" t="n"/>
      <c r="H16" s="35" t="n"/>
      <c r="I16" s="35" t="n"/>
      <c r="J16" s="35" t="n"/>
      <c r="K16" s="35" t="n"/>
      <c r="L16" s="35" t="n"/>
      <c r="M16" s="35" t="n"/>
      <c r="N16" s="35" t="n"/>
      <c r="O16" s="35" t="n"/>
      <c r="P16" s="35" t="n"/>
      <c r="Q16" s="35" t="n"/>
      <c r="R16" s="35" t="n"/>
    </row>
    <row r="17" ht="16" customHeight="1">
      <c r="D17" s="35" t="n"/>
      <c r="E17" s="35" t="n"/>
      <c r="F17" s="35" t="n"/>
      <c r="G17" s="35" t="n"/>
      <c r="H17" s="35" t="n"/>
      <c r="I17" s="35" t="n"/>
      <c r="J17" s="35" t="n"/>
      <c r="K17" s="35" t="n"/>
      <c r="L17" s="35" t="n"/>
      <c r="M17" s="35" t="n"/>
      <c r="N17" s="35" t="n"/>
      <c r="O17" s="35" t="n"/>
      <c r="P17" s="35" t="n"/>
      <c r="Q17" s="35" t="n"/>
      <c r="R17" s="35" t="n"/>
    </row>
    <row r="18" ht="16" customHeight="1">
      <c r="D18" s="35" t="n"/>
      <c r="E18" s="35" t="n"/>
      <c r="F18" s="35" t="n"/>
      <c r="G18" s="35" t="n"/>
      <c r="H18" s="35" t="n"/>
      <c r="I18" s="35" t="n"/>
      <c r="J18" s="35" t="n"/>
      <c r="K18" s="35" t="n"/>
      <c r="L18" s="35" t="n"/>
      <c r="M18" s="35" t="n"/>
      <c r="N18" s="35" t="n"/>
      <c r="O18" s="35" t="n"/>
      <c r="P18" s="35" t="n"/>
      <c r="Q18" s="35" t="n"/>
      <c r="R18" s="35" t="n"/>
    </row>
    <row r="19" ht="16" customHeight="1">
      <c r="D19" s="35" t="n"/>
      <c r="E19" s="35" t="n"/>
      <c r="F19" s="35" t="n"/>
      <c r="G19" s="35" t="n"/>
      <c r="H19" s="35" t="n"/>
      <c r="I19" s="35" t="n"/>
      <c r="J19" s="35" t="n"/>
      <c r="K19" s="35" t="n"/>
      <c r="L19" s="35" t="n"/>
      <c r="M19" s="35" t="n"/>
      <c r="N19" s="35" t="n"/>
      <c r="O19" s="35" t="n"/>
      <c r="P19" s="35" t="n"/>
      <c r="Q19" s="35" t="n"/>
      <c r="R19" s="35" t="n"/>
    </row>
    <row r="20" ht="16" customHeight="1">
      <c r="D20" s="35" t="n"/>
      <c r="E20" s="35" t="n"/>
      <c r="F20" s="35" t="n"/>
      <c r="G20" s="35" t="n"/>
      <c r="H20" s="35" t="n"/>
      <c r="I20" s="35" t="n"/>
      <c r="J20" s="35" t="n"/>
      <c r="K20" s="35" t="n"/>
      <c r="L20" s="35" t="n"/>
      <c r="M20" s="35" t="n"/>
      <c r="N20" s="35" t="n"/>
      <c r="O20" s="35" t="n"/>
      <c r="P20" s="35" t="n"/>
      <c r="Q20" s="35" t="n"/>
      <c r="R20" s="35" t="n"/>
    </row>
    <row r="21">
      <c r="D21" s="36" t="inlineStr">
        <is>
          <t>合計</t>
        </is>
      </c>
      <c r="E21" s="36" t="n"/>
      <c r="F21" s="36" t="n"/>
      <c r="G21" s="37">
        <f>SUM(G8:G20)</f>
        <v>182512000.0</v>
      </c>
      <c r="H21" s="38">
        <f>SUM(H8:H20)</f>
        <v>632.6</v>
      </c>
      <c r="I21" s="36" t="n"/>
      <c r="J21" s="36" t="n"/>
      <c r="K21" s="36" t="n"/>
      <c r="L21" s="36" t="n"/>
      <c r="M21" s="36" t="n"/>
      <c r="N21" s="36" t="n"/>
      <c r="O21" s="36" t="n"/>
      <c r="P21" s="36" t="n"/>
      <c r="Q21" s="37">
        <f>SUM(Q8:Q20)</f>
        <v>97.0</v>
      </c>
      <c r="R21" s="36" t="n"/>
    </row>
    <row r="22" ht="6" customHeight="1"/>
    <row r="23" ht="17.5" customHeight="1">
      <c r="D23" s="39" t="inlineStr">
        <is>
          <t>方式別集計（数式）</t>
        </is>
      </c>
    </row>
    <row r="24">
      <c r="D24" s="40" t="inlineStr">
        <is>
          <t>方式A（表数／GB）</t>
        </is>
      </c>
      <c r="E24" s="22" t="n"/>
      <c r="F24" s="41">
        <f>COUNTIF($O$8:$O$20,"A")</f>
        <v>1.0</v>
      </c>
      <c r="G24" s="42">
        <f>SUMIF($O$8:$O$20,"A",$H$8:$H$20)</f>
        <v>12.5</v>
      </c>
    </row>
    <row r="25">
      <c r="D25" s="40" t="inlineStr">
        <is>
          <t>方式B（表数／GB）</t>
        </is>
      </c>
      <c r="E25" s="22" t="n"/>
      <c r="F25" s="41">
        <f>COUNTIF($O$8:$O$20,"B")</f>
        <v>1.0</v>
      </c>
      <c r="G25" s="42">
        <f>SUMIF($O$8:$O$20,"B",$H$8:$H$20)</f>
        <v>620.0</v>
      </c>
    </row>
    <row r="26">
      <c r="D26" s="40" t="inlineStr">
        <is>
          <t>方式C（表数／GB）</t>
        </is>
      </c>
      <c r="E26" s="22" t="n"/>
      <c r="F26" s="41">
        <f>COUNTIF($O$8:$O$20,"C")</f>
        <v>1.0</v>
      </c>
      <c r="G26" s="42">
        <f>SUMIF($O$8:$O$20,"C",$H$8:$H$20)</f>
        <v>0.1</v>
      </c>
    </row>
    <row r="27">
      <c r="D27" s="40" t="inlineStr">
        <is>
          <t>方式B 合計 GB ÷ 実測スループット(GB/時)</t>
        </is>
      </c>
      <c r="E27" s="40" t="n"/>
      <c r="F27" s="43" t="n">
        <v>150</v>
      </c>
      <c r="G27" s="44">
        <f>IF(F27&gt;0,G25/F27,0)</f>
        <v>4.13333333333333</v>
      </c>
      <c r="H27" s="13" t="inlineStr">
        <is>
          <t>← 左：スループット（GB/時、リハーサル実測で更新。初期値 150 は仮置き）、右：方式B の差分移行に要する時間（時間）の概算</t>
        </is>
      </c>
    </row>
    <row r="28" ht="6" customHeight="1"/>
    <row r="29" ht="17.5" customHeight="1">
      <c r="D29" s="7" t="inlineStr">
        <is>
          <t>凡例：黄色＝記入欄／灰色＝数式（変更不可）。列「判定方式」は A／B／C の半角英大文字で記入する（集計の条件に使用）。</t>
        </is>
      </c>
    </row>
  </sheetData>
  <mergeCells count="11">
    <mergeCell ref="D25:E25"/>
    <mergeCell ref="D5:M5"/>
    <mergeCell ref="D23:M23"/>
    <mergeCell ref="H27:R27"/>
    <mergeCell ref="D24:E24"/>
    <mergeCell ref="D4:M4"/>
    <mergeCell ref="D3:M3"/>
    <mergeCell ref="D27:E27"/>
    <mergeCell ref="B1:M1"/>
    <mergeCell ref="D26:E26"/>
    <mergeCell ref="D29:M29"/>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B1:M60"/>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18" t="inlineStr">
        <is>
          <t>付録C. 作業チェックリスト</t>
        </is>
      </c>
    </row>
    <row r="2" ht="4" customHeight="1"/>
    <row r="3" ht="17.5" customHeight="1">
      <c r="D3" s="7" t="inlineStr">
        <is>
          <t>各判定ポイントで使用するチェックリスト。□ に実施結果（済／未／該当なし）と確認者を記入する。</t>
        </is>
      </c>
    </row>
    <row r="4" ht="6" customHeight="1"/>
    <row r="5" ht="20" customHeight="1">
      <c r="B5" s="19" t="inlineStr">
        <is>
          <t>C.1. 初期全量移行 開始判定（Go/No-Go）</t>
        </is>
      </c>
      <c r="C5" s="20" t="n"/>
      <c r="D5" s="20" t="n"/>
      <c r="E5" s="20" t="n"/>
      <c r="F5" s="20" t="n"/>
      <c r="G5" s="20" t="n"/>
      <c r="H5" s="20" t="n"/>
      <c r="I5" s="20" t="n"/>
      <c r="J5" s="20" t="n"/>
      <c r="K5" s="20" t="n"/>
      <c r="L5" s="20" t="n"/>
      <c r="M5" s="20" t="n"/>
    </row>
    <row r="6" ht="17.5" customHeight="1">
      <c r="D6" s="8" t="inlineStr">
        <is>
          <t>No</t>
        </is>
      </c>
      <c r="E6" s="8" t="inlineStr">
        <is>
          <t>確認項目</t>
        </is>
      </c>
      <c r="F6" s="23" t="n"/>
      <c r="G6" s="23" t="n"/>
      <c r="H6" s="23" t="n"/>
      <c r="I6" s="22" t="n"/>
      <c r="J6" s="8" t="inlineStr">
        <is>
          <t>参照</t>
        </is>
      </c>
      <c r="K6" s="8" t="inlineStr">
        <is>
          <t>結果</t>
        </is>
      </c>
      <c r="L6" s="8" t="inlineStr">
        <is>
          <t>確認者</t>
        </is>
      </c>
      <c r="M6" s="22" t="n"/>
    </row>
    <row r="7" ht="17.5" customHeight="1">
      <c r="D7" s="24" t="inlineStr">
        <is>
          <t>1</t>
        </is>
      </c>
      <c r="E7" s="10" t="inlineStr">
        <is>
          <t>3.8 事前準備完了チェックリストの全項目が完了</t>
        </is>
      </c>
      <c r="F7" s="23" t="n"/>
      <c r="G7" s="23" t="n"/>
      <c r="H7" s="23" t="n"/>
      <c r="I7" s="22" t="n"/>
      <c r="J7" s="24" t="inlineStr">
        <is>
          <t>3.8</t>
        </is>
      </c>
      <c r="K7" s="24" t="inlineStr">
        <is>
          <t>□</t>
        </is>
      </c>
      <c r="L7" s="10" t="inlineStr"/>
      <c r="M7" s="22" t="n"/>
    </row>
    <row r="8" ht="31" customHeight="1">
      <c r="D8" s="24" t="inlineStr">
        <is>
          <t>2</t>
        </is>
      </c>
      <c r="E8" s="10" t="inlineStr">
        <is>
          <t>週末の作業体制・連絡網が確定し、現行の業務影響（負荷）について運用と合意済み</t>
        </is>
      </c>
      <c r="F8" s="23" t="n"/>
      <c r="G8" s="23" t="n"/>
      <c r="H8" s="23" t="n"/>
      <c r="I8" s="22" t="n"/>
      <c r="J8" s="24" t="inlineStr">
        <is>
          <t>8.6</t>
        </is>
      </c>
      <c r="K8" s="24" t="inlineStr">
        <is>
          <t>□</t>
        </is>
      </c>
      <c r="L8" s="10" t="inlineStr"/>
      <c r="M8" s="22" t="n"/>
    </row>
    <row r="9" ht="17.5" customHeight="1">
      <c r="D9" s="24" t="inlineStr">
        <is>
          <t>3</t>
        </is>
      </c>
      <c r="E9" s="10" t="inlineStr">
        <is>
          <t>一時 EBS・中継領域・S3・DATA_PUMP_DIR の空き容量を確認</t>
        </is>
      </c>
      <c r="F9" s="23" t="n"/>
      <c r="G9" s="23" t="n"/>
      <c r="H9" s="23" t="n"/>
      <c r="I9" s="22" t="n"/>
      <c r="J9" s="24" t="inlineStr">
        <is>
          <t>3.3</t>
        </is>
      </c>
      <c r="K9" s="24" t="inlineStr">
        <is>
          <t>□</t>
        </is>
      </c>
      <c r="L9" s="10" t="inlineStr"/>
      <c r="M9" s="22" t="n"/>
    </row>
    <row r="10" ht="17.5" customHeight="1">
      <c r="D10" s="24" t="inlineStr">
        <is>
          <t>4</t>
        </is>
      </c>
      <c r="E10" s="10" t="inlineStr">
        <is>
          <t>UNDO 設定変更済み、実行中の長時間バッチなし</t>
        </is>
      </c>
      <c r="F10" s="23" t="n"/>
      <c r="G10" s="23" t="n"/>
      <c r="H10" s="23" t="n"/>
      <c r="I10" s="22" t="n"/>
      <c r="J10" s="24" t="inlineStr">
        <is>
          <t>4.1</t>
        </is>
      </c>
      <c r="K10" s="24" t="inlineStr">
        <is>
          <t>□</t>
        </is>
      </c>
      <c r="L10" s="10" t="inlineStr"/>
      <c r="M10" s="22" t="n"/>
    </row>
    <row r="11" ht="17.5" customHeight="1">
      <c r="D11" s="24" t="inlineStr">
        <is>
          <t>5</t>
        </is>
      </c>
      <c r="E11" s="10" t="inlineStr">
        <is>
          <t>移行前バックアップ（AMI）取得済み</t>
        </is>
      </c>
      <c r="F11" s="23" t="n"/>
      <c r="G11" s="23" t="n"/>
      <c r="H11" s="23" t="n"/>
      <c r="I11" s="22" t="n"/>
      <c r="J11" s="24" t="inlineStr">
        <is>
          <t>8.1</t>
        </is>
      </c>
      <c r="K11" s="24" t="inlineStr">
        <is>
          <t>□</t>
        </is>
      </c>
      <c r="L11" s="10" t="inlineStr"/>
      <c r="M11" s="22" t="n"/>
    </row>
    <row r="12" ht="17.5" customHeight="1">
      <c r="D12" s="24" t="inlineStr">
        <is>
          <t>6</t>
        </is>
      </c>
      <c r="E12" s="10" t="inlineStr">
        <is>
          <t>変更凍結の開始を周知済み</t>
        </is>
      </c>
      <c r="F12" s="23" t="n"/>
      <c r="G12" s="23" t="n"/>
      <c r="H12" s="23" t="n"/>
      <c r="I12" s="22" t="n"/>
      <c r="J12" s="24" t="inlineStr">
        <is>
          <t>8.5</t>
        </is>
      </c>
      <c r="K12" s="24" t="inlineStr">
        <is>
          <t>□</t>
        </is>
      </c>
      <c r="L12" s="10" t="inlineStr"/>
      <c r="M12" s="22" t="n"/>
    </row>
    <row r="13" ht="6" customHeight="1"/>
    <row r="14" ht="20" customHeight="1">
      <c r="B14" s="19" t="inlineStr">
        <is>
          <t>C.2. 初期全量移行 完了判定</t>
        </is>
      </c>
      <c r="C14" s="20" t="n"/>
      <c r="D14" s="20" t="n"/>
      <c r="E14" s="20" t="n"/>
      <c r="F14" s="20" t="n"/>
      <c r="G14" s="20" t="n"/>
      <c r="H14" s="20" t="n"/>
      <c r="I14" s="20" t="n"/>
      <c r="J14" s="20" t="n"/>
      <c r="K14" s="20" t="n"/>
      <c r="L14" s="20" t="n"/>
      <c r="M14" s="20" t="n"/>
    </row>
    <row r="15" ht="17.5" customHeight="1">
      <c r="D15" s="8" t="inlineStr">
        <is>
          <t>No</t>
        </is>
      </c>
      <c r="E15" s="8" t="inlineStr">
        <is>
          <t>確認項目</t>
        </is>
      </c>
      <c r="F15" s="23" t="n"/>
      <c r="G15" s="23" t="n"/>
      <c r="H15" s="23" t="n"/>
      <c r="I15" s="22" t="n"/>
      <c r="J15" s="8" t="inlineStr">
        <is>
          <t>参照</t>
        </is>
      </c>
      <c r="K15" s="8" t="inlineStr">
        <is>
          <t>結果</t>
        </is>
      </c>
      <c r="L15" s="8" t="inlineStr">
        <is>
          <t>確認者</t>
        </is>
      </c>
      <c r="M15" s="22" t="n"/>
    </row>
    <row r="16" ht="17.5" customHeight="1">
      <c r="D16" s="24" t="inlineStr">
        <is>
          <t>1</t>
        </is>
      </c>
      <c r="E16" s="10" t="inlineStr">
        <is>
          <t>全バッチの expdp／impdp ログにエラーなし（想定内エラーを除く）</t>
        </is>
      </c>
      <c r="F16" s="23" t="n"/>
      <c r="G16" s="23" t="n"/>
      <c r="H16" s="23" t="n"/>
      <c r="I16" s="22" t="n"/>
      <c r="J16" s="24" t="inlineStr">
        <is>
          <t>4.3</t>
        </is>
      </c>
      <c r="K16" s="24" t="inlineStr">
        <is>
          <t>□</t>
        </is>
      </c>
      <c r="L16" s="10" t="inlineStr"/>
      <c r="M16" s="22" t="n"/>
    </row>
    <row r="17" ht="17.5" customHeight="1">
      <c r="D17" s="24" t="inlineStr">
        <is>
          <t>2</t>
        </is>
      </c>
      <c r="E17" s="10" t="inlineStr">
        <is>
          <t>件数照合（expdp 行数＝RDS COUNT）全表一致</t>
        </is>
      </c>
      <c r="F17" s="23" t="n"/>
      <c r="G17" s="23" t="n"/>
      <c r="H17" s="23" t="n"/>
      <c r="I17" s="22" t="n"/>
      <c r="J17" s="24" t="inlineStr">
        <is>
          <t>6.2</t>
        </is>
      </c>
      <c r="K17" s="24" t="inlineStr">
        <is>
          <t>□</t>
        </is>
      </c>
      <c r="L17" s="10" t="inlineStr"/>
      <c r="M17" s="22" t="n"/>
    </row>
    <row r="18" ht="31" customHeight="1">
      <c r="D18" s="24" t="inlineStr">
        <is>
          <t>3</t>
        </is>
      </c>
      <c r="E18" s="10" t="inlineStr">
        <is>
          <t>オブジェクト数・無効オブジェクト・制約・索引・トリガー・シーケンス・権限の突合完了</t>
        </is>
      </c>
      <c r="F18" s="23" t="n"/>
      <c r="G18" s="23" t="n"/>
      <c r="H18" s="23" t="n"/>
      <c r="I18" s="22" t="n"/>
      <c r="J18" s="24" t="inlineStr">
        <is>
          <t>6.2</t>
        </is>
      </c>
      <c r="K18" s="24" t="inlineStr">
        <is>
          <t>□</t>
        </is>
      </c>
      <c r="L18" s="10" t="inlineStr"/>
      <c r="M18" s="22" t="n"/>
    </row>
    <row r="19" ht="17.5" customHeight="1">
      <c r="D19" s="24" t="inlineStr">
        <is>
          <t>4</t>
        </is>
      </c>
      <c r="E19" s="10" t="inlineStr">
        <is>
          <t>統計取得・再コンパイル完了</t>
        </is>
      </c>
      <c r="F19" s="23" t="n"/>
      <c r="G19" s="23" t="n"/>
      <c r="H19" s="23" t="n"/>
      <c r="I19" s="22" t="n"/>
      <c r="J19" s="24" t="inlineStr">
        <is>
          <t>4.4</t>
        </is>
      </c>
      <c r="K19" s="24" t="inlineStr">
        <is>
          <t>□</t>
        </is>
      </c>
      <c r="L19" s="10" t="inlineStr"/>
      <c r="M19" s="22" t="n"/>
    </row>
    <row r="20" ht="17.5" customHeight="1">
      <c r="D20" s="24" t="inlineStr">
        <is>
          <t>5</t>
        </is>
      </c>
      <c r="E20" s="10" t="inlineStr">
        <is>
          <t>DATA_PUMP_DIR が空、FreeStorageSpace が想定値</t>
        </is>
      </c>
      <c r="F20" s="23" t="n"/>
      <c r="G20" s="23" t="n"/>
      <c r="H20" s="23" t="n"/>
      <c r="I20" s="22" t="n"/>
      <c r="J20" s="24" t="inlineStr">
        <is>
          <t>4.4</t>
        </is>
      </c>
      <c r="K20" s="24" t="inlineStr">
        <is>
          <t>□</t>
        </is>
      </c>
      <c r="L20" s="10" t="inlineStr"/>
      <c r="M20" s="22" t="n"/>
    </row>
    <row r="21" ht="17.5" customHeight="1">
      <c r="D21" s="24" t="inlineStr">
        <is>
          <t>6</t>
        </is>
      </c>
      <c r="E21" s="10" t="inlineStr">
        <is>
          <t>基点スナップショット取得完了（available）</t>
        </is>
      </c>
      <c r="F21" s="23" t="n"/>
      <c r="G21" s="23" t="n"/>
      <c r="H21" s="23" t="n"/>
      <c r="I21" s="22" t="n"/>
      <c r="J21" s="24" t="inlineStr">
        <is>
          <t>4.4</t>
        </is>
      </c>
      <c r="K21" s="24" t="inlineStr">
        <is>
          <t>□</t>
        </is>
      </c>
      <c r="L21" s="10" t="inlineStr"/>
      <c r="M21" s="22" t="n"/>
    </row>
    <row r="22" ht="17.5" customHeight="1">
      <c r="D22" s="24" t="inlineStr">
        <is>
          <t>7</t>
        </is>
      </c>
      <c r="E22" s="10" t="inlineStr">
        <is>
          <t>ジョブ抑止状態（job_queue_processes=0 または DISABLE）</t>
        </is>
      </c>
      <c r="F22" s="23" t="n"/>
      <c r="G22" s="23" t="n"/>
      <c r="H22" s="23" t="n"/>
      <c r="I22" s="22" t="n"/>
      <c r="J22" s="24" t="inlineStr">
        <is>
          <t>3.3</t>
        </is>
      </c>
      <c r="K22" s="24" t="inlineStr">
        <is>
          <t>□</t>
        </is>
      </c>
      <c r="L22" s="10" t="inlineStr"/>
      <c r="M22" s="22" t="n"/>
    </row>
    <row r="23" ht="17.5" customHeight="1">
      <c r="D23" s="24" t="inlineStr">
        <is>
          <t>8</t>
        </is>
      </c>
      <c r="E23" s="10" t="inlineStr">
        <is>
          <t>S0・T0・作業記録が台帳に記録済み</t>
        </is>
      </c>
      <c r="F23" s="23" t="n"/>
      <c r="G23" s="23" t="n"/>
      <c r="H23" s="23" t="n"/>
      <c r="I23" s="22" t="n"/>
      <c r="J23" s="24" t="inlineStr">
        <is>
          <t>8.3</t>
        </is>
      </c>
      <c r="K23" s="24" t="inlineStr">
        <is>
          <t>□</t>
        </is>
      </c>
      <c r="L23" s="10" t="inlineStr"/>
      <c r="M23" s="22" t="n"/>
    </row>
    <row r="24" ht="6" customHeight="1"/>
    <row r="25" ht="20" customHeight="1">
      <c r="B25" s="19" t="inlineStr">
        <is>
          <t>C.3. 本番切替 前日判定（Go/No-Go）</t>
        </is>
      </c>
      <c r="C25" s="20" t="n"/>
      <c r="D25" s="20" t="n"/>
      <c r="E25" s="20" t="n"/>
      <c r="F25" s="20" t="n"/>
      <c r="G25" s="20" t="n"/>
      <c r="H25" s="20" t="n"/>
      <c r="I25" s="20" t="n"/>
      <c r="J25" s="20" t="n"/>
      <c r="K25" s="20" t="n"/>
      <c r="L25" s="20" t="n"/>
      <c r="M25" s="20" t="n"/>
    </row>
    <row r="26" ht="17.5" customHeight="1">
      <c r="D26" s="8" t="inlineStr">
        <is>
          <t>No</t>
        </is>
      </c>
      <c r="E26" s="8" t="inlineStr">
        <is>
          <t>確認項目</t>
        </is>
      </c>
      <c r="F26" s="23" t="n"/>
      <c r="G26" s="23" t="n"/>
      <c r="H26" s="23" t="n"/>
      <c r="I26" s="22" t="n"/>
      <c r="J26" s="8" t="inlineStr">
        <is>
          <t>参照</t>
        </is>
      </c>
      <c r="K26" s="8" t="inlineStr">
        <is>
          <t>結果</t>
        </is>
      </c>
      <c r="L26" s="8" t="inlineStr">
        <is>
          <t>確認者</t>
        </is>
      </c>
      <c r="M26" s="22" t="n"/>
    </row>
    <row r="27" ht="31" customHeight="1">
      <c r="D27" s="24" t="inlineStr">
        <is>
          <t>1</t>
        </is>
      </c>
      <c r="E27" s="10" t="inlineStr">
        <is>
          <t>検証期間の検証結果（6 章）が全て OK、または残件が切替に影響しないと判断済み</t>
        </is>
      </c>
      <c r="F27" s="23" t="n"/>
      <c r="G27" s="23" t="n"/>
      <c r="H27" s="23" t="n"/>
      <c r="I27" s="22" t="n"/>
      <c r="J27" s="24" t="inlineStr">
        <is>
          <t>6.6</t>
        </is>
      </c>
      <c r="K27" s="24" t="inlineStr">
        <is>
          <t>□</t>
        </is>
      </c>
      <c r="L27" s="10" t="inlineStr"/>
      <c r="M27" s="22" t="n"/>
    </row>
    <row r="28" ht="31" customHeight="1">
      <c r="D28" s="24" t="inlineStr">
        <is>
          <t>2</t>
        </is>
      </c>
      <c r="E28" s="10" t="inlineStr">
        <is>
          <t>リハーサル実測に基づく切替タイムラインが 4 時間枠（判断ポイント T+3:00）に収まる</t>
        </is>
      </c>
      <c r="F28" s="23" t="n"/>
      <c r="G28" s="23" t="n"/>
      <c r="H28" s="23" t="n"/>
      <c r="I28" s="22" t="n"/>
      <c r="J28" s="24" t="inlineStr">
        <is>
          <t>3.7／5.4</t>
        </is>
      </c>
      <c r="K28" s="24" t="inlineStr">
        <is>
          <t>□</t>
        </is>
      </c>
      <c r="L28" s="10" t="inlineStr"/>
      <c r="M28" s="22" t="n"/>
    </row>
    <row r="29" ht="31" customHeight="1">
      <c r="D29" s="24" t="inlineStr">
        <is>
          <t>3</t>
        </is>
      </c>
      <c r="E29" s="10" t="inlineStr">
        <is>
          <t>RDS を基点スナップショットから復元済み（識別子・エンドポイント・IAM ロール・件数を確認）</t>
        </is>
      </c>
      <c r="F29" s="23" t="n"/>
      <c r="G29" s="23" t="n"/>
      <c r="H29" s="23" t="n"/>
      <c r="I29" s="22" t="n"/>
      <c r="J29" s="24" t="inlineStr">
        <is>
          <t>5.3</t>
        </is>
      </c>
      <c r="K29" s="24" t="inlineStr">
        <is>
          <t>□</t>
        </is>
      </c>
      <c r="L29" s="10" t="inlineStr"/>
      <c r="M29" s="22" t="n"/>
    </row>
    <row r="30" ht="17.5" customHeight="1">
      <c r="D30" s="24" t="inlineStr">
        <is>
          <t>4</t>
        </is>
      </c>
      <c r="E30" s="10" t="inlineStr">
        <is>
          <t>方式C 表の事前チェック完了、方式B 表の一覧・パラメータファイル最終版</t>
        </is>
      </c>
      <c r="F30" s="23" t="n"/>
      <c r="G30" s="23" t="n"/>
      <c r="H30" s="23" t="n"/>
      <c r="I30" s="22" t="n"/>
      <c r="J30" s="24" t="inlineStr">
        <is>
          <t>5.3</t>
        </is>
      </c>
      <c r="K30" s="24" t="inlineStr">
        <is>
          <t>□</t>
        </is>
      </c>
      <c r="L30" s="10" t="inlineStr"/>
      <c r="M30" s="22" t="n"/>
    </row>
    <row r="31" ht="31" customHeight="1">
      <c r="D31" s="24" t="inlineStr">
        <is>
          <t>5</t>
        </is>
      </c>
      <c r="E31" s="10" t="inlineStr">
        <is>
          <t>ステージング表作成済み、DATA_PUMP_DIR 空、S3 diff/ 空、中継領域・一時 EBS 空き</t>
        </is>
      </c>
      <c r="F31" s="23" t="n"/>
      <c r="G31" s="23" t="n"/>
      <c r="H31" s="23" t="n"/>
      <c r="I31" s="22" t="n"/>
      <c r="J31" s="24" t="inlineStr">
        <is>
          <t>5.3</t>
        </is>
      </c>
      <c r="K31" s="24" t="inlineStr">
        <is>
          <t>□</t>
        </is>
      </c>
      <c r="L31" s="10" t="inlineStr"/>
      <c r="M31" s="22" t="n"/>
    </row>
    <row r="32" ht="31" customHeight="1">
      <c r="D32" s="24" t="inlineStr">
        <is>
          <t>6</t>
        </is>
      </c>
      <c r="E32" s="10" t="inlineStr">
        <is>
          <t>新環境の接続定義（Tomcat・ASTERIA・tnsnames・Data Loader）が本番 RDS を指し、サービス停止状態</t>
        </is>
      </c>
      <c r="F32" s="23" t="n"/>
      <c r="G32" s="23" t="n"/>
      <c r="H32" s="23" t="n"/>
      <c r="I32" s="22" t="n"/>
      <c r="J32" s="24" t="inlineStr">
        <is>
          <t>5.3</t>
        </is>
      </c>
      <c r="K32" s="24" t="inlineStr">
        <is>
          <t>□</t>
        </is>
      </c>
      <c r="L32" s="10" t="inlineStr"/>
      <c r="M32" s="22" t="n"/>
    </row>
    <row r="33" ht="17.5" customHeight="1">
      <c r="D33" s="24" t="inlineStr">
        <is>
          <t>7</t>
        </is>
      </c>
      <c r="E33" s="10" t="inlineStr">
        <is>
          <t>業務部門・連携先への停止周知、停止・再開時刻の合意</t>
        </is>
      </c>
      <c r="F33" s="23" t="n"/>
      <c r="G33" s="23" t="n"/>
      <c r="H33" s="23" t="n"/>
      <c r="I33" s="22" t="n"/>
      <c r="J33" s="24" t="inlineStr">
        <is>
          <t>5.3</t>
        </is>
      </c>
      <c r="K33" s="24" t="inlineStr">
        <is>
          <t>□</t>
        </is>
      </c>
      <c r="L33" s="10" t="inlineStr"/>
      <c r="M33" s="22" t="n"/>
    </row>
    <row r="34" ht="17.5" customHeight="1">
      <c r="D34" s="24" t="inlineStr">
        <is>
          <t>8</t>
        </is>
      </c>
      <c r="E34" s="10" t="inlineStr">
        <is>
          <t>体制表・連絡網・切戻し手順の確認</t>
        </is>
      </c>
      <c r="F34" s="23" t="n"/>
      <c r="G34" s="23" t="n"/>
      <c r="H34" s="23" t="n"/>
      <c r="I34" s="22" t="n"/>
      <c r="J34" s="24" t="inlineStr">
        <is>
          <t>5.10／8.6</t>
        </is>
      </c>
      <c r="K34" s="24" t="inlineStr">
        <is>
          <t>□</t>
        </is>
      </c>
      <c r="L34" s="10" t="inlineStr"/>
      <c r="M34" s="22" t="n"/>
    </row>
    <row r="35" ht="17.5" customHeight="1">
      <c r="D35" s="24" t="inlineStr">
        <is>
          <t>9</t>
        </is>
      </c>
      <c r="E35" s="10" t="inlineStr">
        <is>
          <t>現行の AMI（稼働中）取得済み</t>
        </is>
      </c>
      <c r="F35" s="23" t="n"/>
      <c r="G35" s="23" t="n"/>
      <c r="H35" s="23" t="n"/>
      <c r="I35" s="22" t="n"/>
      <c r="J35" s="24" t="inlineStr">
        <is>
          <t>8.1</t>
        </is>
      </c>
      <c r="K35" s="24" t="inlineStr">
        <is>
          <t>□</t>
        </is>
      </c>
      <c r="L35" s="10" t="inlineStr"/>
      <c r="M35" s="22" t="n"/>
    </row>
    <row r="36" ht="17.5" customHeight="1">
      <c r="D36" s="24" t="inlineStr">
        <is>
          <t>10</t>
        </is>
      </c>
      <c r="E36" s="10" t="inlineStr">
        <is>
          <t>RDS のメンテナンス・バックアップウィンドウが切替時間と重ならない</t>
        </is>
      </c>
      <c r="F36" s="23" t="n"/>
      <c r="G36" s="23" t="n"/>
      <c r="H36" s="23" t="n"/>
      <c r="I36" s="22" t="n"/>
      <c r="J36" s="24" t="inlineStr">
        <is>
          <t>3.2.1</t>
        </is>
      </c>
      <c r="K36" s="24" t="inlineStr">
        <is>
          <t>□</t>
        </is>
      </c>
      <c r="L36" s="10" t="inlineStr"/>
      <c r="M36" s="22" t="n"/>
    </row>
    <row r="37" ht="6" customHeight="1"/>
    <row r="38" ht="20" customHeight="1">
      <c r="B38" s="19" t="inlineStr">
        <is>
          <t>C.4. 本番切替 当日（サービス開始判定）</t>
        </is>
      </c>
      <c r="C38" s="20" t="n"/>
      <c r="D38" s="20" t="n"/>
      <c r="E38" s="20" t="n"/>
      <c r="F38" s="20" t="n"/>
      <c r="G38" s="20" t="n"/>
      <c r="H38" s="20" t="n"/>
      <c r="I38" s="20" t="n"/>
      <c r="J38" s="20" t="n"/>
      <c r="K38" s="20" t="n"/>
      <c r="L38" s="20" t="n"/>
      <c r="M38" s="20" t="n"/>
    </row>
    <row r="39" ht="17.5" customHeight="1">
      <c r="D39" s="8" t="inlineStr">
        <is>
          <t>No</t>
        </is>
      </c>
      <c r="E39" s="8" t="inlineStr">
        <is>
          <t>確認項目</t>
        </is>
      </c>
      <c r="F39" s="23" t="n"/>
      <c r="G39" s="23" t="n"/>
      <c r="H39" s="23" t="n"/>
      <c r="I39" s="22" t="n"/>
      <c r="J39" s="8" t="inlineStr">
        <is>
          <t>参照</t>
        </is>
      </c>
      <c r="K39" s="8" t="inlineStr">
        <is>
          <t>結果</t>
        </is>
      </c>
      <c r="L39" s="8" t="inlineStr">
        <is>
          <t>確認者</t>
        </is>
      </c>
      <c r="M39" s="22" t="n"/>
    </row>
    <row r="40" ht="17.5" customHeight="1">
      <c r="D40" s="24" t="inlineStr">
        <is>
          <t>1</t>
        </is>
      </c>
      <c r="E40" s="10" t="inlineStr">
        <is>
          <t>業務停止・DB 静止化完了、S1 記録</t>
        </is>
      </c>
      <c r="F40" s="23" t="n"/>
      <c r="G40" s="23" t="n"/>
      <c r="H40" s="23" t="n"/>
      <c r="I40" s="22" t="n"/>
      <c r="J40" s="24" t="inlineStr">
        <is>
          <t>5.5</t>
        </is>
      </c>
      <c r="K40" s="24" t="inlineStr">
        <is>
          <t>□</t>
        </is>
      </c>
      <c r="L40" s="10" t="inlineStr"/>
      <c r="M40" s="22" t="n"/>
    </row>
    <row r="41" ht="17.5" customHeight="1">
      <c r="D41" s="24" t="inlineStr">
        <is>
          <t>2</t>
        </is>
      </c>
      <c r="E41" s="10" t="inlineStr">
        <is>
          <t>差分エクスポート（A／B／シーケンス）完了、ログにエラーなし、行数記録</t>
        </is>
      </c>
      <c r="F41" s="23" t="n"/>
      <c r="G41" s="23" t="n"/>
      <c r="H41" s="23" t="n"/>
      <c r="I41" s="22" t="n"/>
      <c r="J41" s="24" t="inlineStr">
        <is>
          <t>5.5</t>
        </is>
      </c>
      <c r="K41" s="24" t="inlineStr">
        <is>
          <t>□</t>
        </is>
      </c>
      <c r="L41" s="10" t="inlineStr"/>
      <c r="M41" s="22" t="n"/>
    </row>
    <row r="42" ht="31" customHeight="1">
      <c r="D42" s="24" t="inlineStr">
        <is>
          <t>3</t>
        </is>
      </c>
      <c r="E42" s="10" t="inlineStr">
        <is>
          <t>転送完了（チェックサム一致、S3・DATA_PUMP_DIR のファイル数・サイズ一致）</t>
        </is>
      </c>
      <c r="F42" s="23" t="n"/>
      <c r="G42" s="23" t="n"/>
      <c r="H42" s="23" t="n"/>
      <c r="I42" s="22" t="n"/>
      <c r="J42" s="24" t="inlineStr">
        <is>
          <t>5.6</t>
        </is>
      </c>
      <c r="K42" s="24" t="inlineStr">
        <is>
          <t>□</t>
        </is>
      </c>
      <c r="L42" s="10" t="inlineStr"/>
      <c r="M42" s="22" t="n"/>
    </row>
    <row r="43" ht="31" customHeight="1">
      <c r="D43" s="24" t="inlineStr">
        <is>
          <t>4</t>
        </is>
      </c>
      <c r="E43" s="10" t="inlineStr">
        <is>
          <t>方式B 取込完了（行数一致、制約 ENABLED／VALIDATED、トリガー ENABLED、索引 UNUSABLE なし）</t>
        </is>
      </c>
      <c r="F43" s="23" t="n"/>
      <c r="G43" s="23" t="n"/>
      <c r="H43" s="23" t="n"/>
      <c r="I43" s="22" t="n"/>
      <c r="J43" s="24" t="inlineStr">
        <is>
          <t>5.7</t>
        </is>
      </c>
      <c r="K43" s="24" t="inlineStr">
        <is>
          <t>□</t>
        </is>
      </c>
      <c r="L43" s="10" t="inlineStr"/>
      <c r="M43" s="22" t="n"/>
    </row>
    <row r="44" ht="17.5" customHeight="1">
      <c r="D44" s="24" t="inlineStr">
        <is>
          <t>5</t>
        </is>
      </c>
      <c r="E44" s="10" t="inlineStr">
        <is>
          <t>方式A MERGE 完了（件数記録）、方式C 無変更確認</t>
        </is>
      </c>
      <c r="F44" s="23" t="n"/>
      <c r="G44" s="23" t="n"/>
      <c r="H44" s="23" t="n"/>
      <c r="I44" s="22" t="n"/>
      <c r="J44" s="24" t="inlineStr">
        <is>
          <t>5.7</t>
        </is>
      </c>
      <c r="K44" s="24" t="inlineStr">
        <is>
          <t>□</t>
        </is>
      </c>
      <c r="L44" s="10" t="inlineStr"/>
      <c r="M44" s="22" t="n"/>
    </row>
    <row r="45" ht="17.5" customHeight="1">
      <c r="D45" s="24" t="inlineStr">
        <is>
          <t>6</t>
        </is>
      </c>
      <c r="E45" s="10" t="inlineStr">
        <is>
          <t>シーケンス同期、統計、再コンパイル完了</t>
        </is>
      </c>
      <c r="F45" s="23" t="n"/>
      <c r="G45" s="23" t="n"/>
      <c r="H45" s="23" t="n"/>
      <c r="I45" s="22" t="n"/>
      <c r="J45" s="24" t="inlineStr">
        <is>
          <t>5.7</t>
        </is>
      </c>
      <c r="K45" s="24" t="inlineStr">
        <is>
          <t>□</t>
        </is>
      </c>
      <c r="L45" s="10" t="inlineStr"/>
      <c r="M45" s="22" t="n"/>
    </row>
    <row r="46" ht="17.5" customHeight="1">
      <c r="D46" s="24" t="inlineStr">
        <is>
          <t>7</t>
        </is>
      </c>
      <c r="E46" s="10" t="inlineStr">
        <is>
          <t>件数照合（全表）・ハッシュ照合（主要表）一致</t>
        </is>
      </c>
      <c r="F46" s="23" t="n"/>
      <c r="G46" s="23" t="n"/>
      <c r="H46" s="23" t="n"/>
      <c r="I46" s="22" t="n"/>
      <c r="J46" s="24" t="inlineStr">
        <is>
          <t>5.8</t>
        </is>
      </c>
      <c r="K46" s="24" t="inlineStr">
        <is>
          <t>□</t>
        </is>
      </c>
      <c r="L46" s="10" t="inlineStr"/>
      <c r="M46" s="22" t="n"/>
    </row>
    <row r="47" ht="31" customHeight="1">
      <c r="D47" s="24" t="inlineStr">
        <is>
          <t>8</t>
        </is>
      </c>
      <c r="E47" s="10" t="inlineStr">
        <is>
          <t>アプリ疎通（Tomcat・ASTERIA・JP1・Data Loader）OK、SYSDATE が JST</t>
        </is>
      </c>
      <c r="F47" s="23" t="n"/>
      <c r="G47" s="23" t="n"/>
      <c r="H47" s="23" t="n"/>
      <c r="I47" s="22" t="n"/>
      <c r="J47" s="24" t="inlineStr">
        <is>
          <t>5.8</t>
        </is>
      </c>
      <c r="K47" s="24" t="inlineStr">
        <is>
          <t>□</t>
        </is>
      </c>
      <c r="L47" s="10" t="inlineStr"/>
      <c r="M47" s="22" t="n"/>
    </row>
    <row r="48" ht="17.5" customHeight="1">
      <c r="D48" s="24" t="inlineStr">
        <is>
          <t>9</t>
        </is>
      </c>
      <c r="E48" s="10" t="inlineStr">
        <is>
          <t>T+3:00 判断：続行</t>
        </is>
      </c>
      <c r="F48" s="23" t="n"/>
      <c r="G48" s="23" t="n"/>
      <c r="H48" s="23" t="n"/>
      <c r="I48" s="22" t="n"/>
      <c r="J48" s="24" t="inlineStr">
        <is>
          <t>5.4</t>
        </is>
      </c>
      <c r="K48" s="24" t="inlineStr">
        <is>
          <t>□</t>
        </is>
      </c>
      <c r="L48" s="10" t="inlineStr"/>
      <c r="M48" s="22" t="n"/>
    </row>
    <row r="49" ht="17.5" customHeight="1">
      <c r="D49" s="24" t="inlineStr">
        <is>
          <t>10</t>
        </is>
      </c>
      <c r="E49" s="10" t="inlineStr">
        <is>
          <t>ジョブ有効化、サービス起動、連携先再開、監視有効化</t>
        </is>
      </c>
      <c r="F49" s="23" t="n"/>
      <c r="G49" s="23" t="n"/>
      <c r="H49" s="23" t="n"/>
      <c r="I49" s="22" t="n"/>
      <c r="J49" s="24" t="inlineStr">
        <is>
          <t>5.9</t>
        </is>
      </c>
      <c r="K49" s="24" t="inlineStr">
        <is>
          <t>□</t>
        </is>
      </c>
      <c r="L49" s="10" t="inlineStr"/>
      <c r="M49" s="22" t="n"/>
    </row>
    <row r="50" ht="17.5" customHeight="1">
      <c r="D50" s="24" t="inlineStr">
        <is>
          <t>11</t>
        </is>
      </c>
      <c r="E50" s="10" t="inlineStr">
        <is>
          <t>業務主管の業務確認 OK、サービス開始宣言</t>
        </is>
      </c>
      <c r="F50" s="23" t="n"/>
      <c r="G50" s="23" t="n"/>
      <c r="H50" s="23" t="n"/>
      <c r="I50" s="22" t="n"/>
      <c r="J50" s="24" t="inlineStr">
        <is>
          <t>5.9</t>
        </is>
      </c>
      <c r="K50" s="24" t="inlineStr">
        <is>
          <t>□</t>
        </is>
      </c>
      <c r="L50" s="10" t="inlineStr"/>
      <c r="M50" s="22" t="n"/>
    </row>
    <row r="51" ht="17.5" customHeight="1">
      <c r="D51" s="24" t="inlineStr">
        <is>
          <t>12</t>
        </is>
      </c>
      <c r="E51" s="10" t="inlineStr">
        <is>
          <t>現行環境停止保持、切替後スナップショット取得、作業記録整理</t>
        </is>
      </c>
      <c r="F51" s="23" t="n"/>
      <c r="G51" s="23" t="n"/>
      <c r="H51" s="23" t="n"/>
      <c r="I51" s="22" t="n"/>
      <c r="J51" s="24" t="inlineStr">
        <is>
          <t>5.9／8.1</t>
        </is>
      </c>
      <c r="K51" s="24" t="inlineStr">
        <is>
          <t>□</t>
        </is>
      </c>
      <c r="L51" s="10" t="inlineStr"/>
      <c r="M51" s="22" t="n"/>
    </row>
    <row r="52" ht="6" customHeight="1"/>
    <row r="53" ht="20" customHeight="1">
      <c r="B53" s="19" t="inlineStr">
        <is>
          <t>C.5. 後片付け完了確認</t>
        </is>
      </c>
      <c r="C53" s="20" t="n"/>
      <c r="D53" s="20" t="n"/>
      <c r="E53" s="20" t="n"/>
      <c r="F53" s="20" t="n"/>
      <c r="G53" s="20" t="n"/>
      <c r="H53" s="20" t="n"/>
      <c r="I53" s="20" t="n"/>
      <c r="J53" s="20" t="n"/>
      <c r="K53" s="20" t="n"/>
      <c r="L53" s="20" t="n"/>
      <c r="M53" s="20" t="n"/>
    </row>
    <row r="54" ht="17.5" customHeight="1">
      <c r="D54" s="8" t="inlineStr">
        <is>
          <t>No</t>
        </is>
      </c>
      <c r="E54" s="8" t="inlineStr">
        <is>
          <t>確認項目</t>
        </is>
      </c>
      <c r="F54" s="23" t="n"/>
      <c r="G54" s="23" t="n"/>
      <c r="H54" s="23" t="n"/>
      <c r="I54" s="22" t="n"/>
      <c r="J54" s="8" t="inlineStr">
        <is>
          <t>参照</t>
        </is>
      </c>
      <c r="K54" s="8" t="inlineStr">
        <is>
          <t>結果</t>
        </is>
      </c>
      <c r="L54" s="8" t="inlineStr">
        <is>
          <t>確認者</t>
        </is>
      </c>
      <c r="M54" s="22" t="n"/>
    </row>
    <row r="55" ht="17.5" customHeight="1">
      <c r="D55" s="24" t="inlineStr">
        <is>
          <t>1</t>
        </is>
      </c>
      <c r="E55" s="10" t="inlineStr">
        <is>
          <t>S3 ダンプ・移行用バケット削除、ログ退避</t>
        </is>
      </c>
      <c r="F55" s="23" t="n"/>
      <c r="G55" s="23" t="n"/>
      <c r="H55" s="23" t="n"/>
      <c r="I55" s="22" t="n"/>
      <c r="J55" s="24" t="inlineStr">
        <is>
          <t>9.1</t>
        </is>
      </c>
      <c r="K55" s="24" t="inlineStr">
        <is>
          <t>□</t>
        </is>
      </c>
      <c r="L55" s="10" t="inlineStr"/>
      <c r="M55" s="22" t="n"/>
    </row>
    <row r="56" ht="31" customHeight="1">
      <c r="D56" s="24" t="inlineStr">
        <is>
          <t>2</t>
        </is>
      </c>
      <c r="E56" s="10" t="inlineStr">
        <is>
          <t>ステージングスキーマ・作業ユーザ・検証用インスタンス・基点スナップショット削除</t>
        </is>
      </c>
      <c r="F56" s="23" t="n"/>
      <c r="G56" s="23" t="n"/>
      <c r="H56" s="23" t="n"/>
      <c r="I56" s="22" t="n"/>
      <c r="J56" s="24" t="inlineStr">
        <is>
          <t>9.1</t>
        </is>
      </c>
      <c r="K56" s="24" t="inlineStr">
        <is>
          <t>□</t>
        </is>
      </c>
      <c r="L56" s="10" t="inlineStr"/>
      <c r="M56" s="22" t="n"/>
    </row>
    <row r="57" ht="17.5" customHeight="1">
      <c r="D57" s="24" t="inlineStr">
        <is>
          <t>3</t>
        </is>
      </c>
      <c r="E57" s="10" t="inlineStr">
        <is>
          <t>IAM 権限の縮小、SG 一時ルール削除、暗号ポリシー復旧、ssh 鍵削除</t>
        </is>
      </c>
      <c r="F57" s="23" t="n"/>
      <c r="G57" s="23" t="n"/>
      <c r="H57" s="23" t="n"/>
      <c r="I57" s="22" t="n"/>
      <c r="J57" s="24" t="inlineStr">
        <is>
          <t>9.1</t>
        </is>
      </c>
      <c r="K57" s="24" t="inlineStr">
        <is>
          <t>□</t>
        </is>
      </c>
      <c r="L57" s="10" t="inlineStr"/>
      <c r="M57" s="22" t="n"/>
    </row>
    <row r="58" ht="17.5" customHeight="1">
      <c r="D58" s="24" t="inlineStr">
        <is>
          <t>4</t>
        </is>
      </c>
      <c r="E58" s="10" t="inlineStr">
        <is>
          <t>一時 EBS（現行・新サーバ）削除、現行環境廃止（最終 AMI）</t>
        </is>
      </c>
      <c r="F58" s="23" t="n"/>
      <c r="G58" s="23" t="n"/>
      <c r="H58" s="23" t="n"/>
      <c r="I58" s="22" t="n"/>
      <c r="J58" s="24" t="inlineStr">
        <is>
          <t>9.1</t>
        </is>
      </c>
      <c r="K58" s="24" t="inlineStr">
        <is>
          <t>□</t>
        </is>
      </c>
      <c r="L58" s="10" t="inlineStr"/>
      <c r="M58" s="22" t="n"/>
    </row>
    <row r="59" ht="17.5" customHeight="1">
      <c r="D59" s="24" t="inlineStr">
        <is>
          <t>5</t>
        </is>
      </c>
      <c r="E59" s="10" t="inlineStr">
        <is>
          <t>RDS 監視・バックアップ・メンテナンス設定の本番化</t>
        </is>
      </c>
      <c r="F59" s="23" t="n"/>
      <c r="G59" s="23" t="n"/>
      <c r="H59" s="23" t="n"/>
      <c r="I59" s="22" t="n"/>
      <c r="J59" s="24" t="inlineStr">
        <is>
          <t>9.2</t>
        </is>
      </c>
      <c r="K59" s="24" t="inlineStr">
        <is>
          <t>□</t>
        </is>
      </c>
      <c r="L59" s="10" t="inlineStr"/>
      <c r="M59" s="22" t="n"/>
    </row>
    <row r="60" ht="31" customHeight="1">
      <c r="D60" s="24" t="inlineStr">
        <is>
          <t>6</t>
        </is>
      </c>
      <c r="E60" s="10" t="inlineStr">
        <is>
          <t>移行結果報告書・環境定義書・運用手順書の更新、課題クローズ、本文書の改版</t>
        </is>
      </c>
      <c r="F60" s="23" t="n"/>
      <c r="G60" s="23" t="n"/>
      <c r="H60" s="23" t="n"/>
      <c r="I60" s="22" t="n"/>
      <c r="J60" s="24" t="inlineStr">
        <is>
          <t>9.3</t>
        </is>
      </c>
      <c r="K60" s="24" t="inlineStr">
        <is>
          <t>□</t>
        </is>
      </c>
      <c r="L60" s="10" t="inlineStr"/>
      <c r="M60" s="22" t="n"/>
    </row>
  </sheetData>
  <mergeCells count="101">
    <mergeCell ref="L17:M17"/>
    <mergeCell ref="E12:I12"/>
    <mergeCell ref="E55:I55"/>
    <mergeCell ref="L19:M19"/>
    <mergeCell ref="E39:I39"/>
    <mergeCell ref="L28:M28"/>
    <mergeCell ref="B53:M53"/>
    <mergeCell ref="E48:I48"/>
    <mergeCell ref="L12:M12"/>
    <mergeCell ref="E29:I29"/>
    <mergeCell ref="L39:M39"/>
    <mergeCell ref="E31:I31"/>
    <mergeCell ref="L45:M45"/>
    <mergeCell ref="E40:I40"/>
    <mergeCell ref="E15:I15"/>
    <mergeCell ref="L29:M29"/>
    <mergeCell ref="L31:M31"/>
    <mergeCell ref="E26:I26"/>
    <mergeCell ref="L40:M40"/>
    <mergeCell ref="E7:I7"/>
    <mergeCell ref="L21:M21"/>
    <mergeCell ref="E16:I16"/>
    <mergeCell ref="E18:I18"/>
    <mergeCell ref="E58:I58"/>
    <mergeCell ref="E50:I50"/>
    <mergeCell ref="L7:M7"/>
    <mergeCell ref="L16:M16"/>
    <mergeCell ref="D3:M3"/>
    <mergeCell ref="E42:I42"/>
    <mergeCell ref="L57:M57"/>
    <mergeCell ref="E44:I44"/>
    <mergeCell ref="E20:I20"/>
    <mergeCell ref="E28:I28"/>
    <mergeCell ref="L42:M42"/>
    <mergeCell ref="L30:M30"/>
    <mergeCell ref="E30:I30"/>
    <mergeCell ref="E59:I59"/>
    <mergeCell ref="E6:I6"/>
    <mergeCell ref="B5:M5"/>
    <mergeCell ref="L20:M20"/>
    <mergeCell ref="E22:I22"/>
    <mergeCell ref="E46:I46"/>
    <mergeCell ref="L44:M44"/>
    <mergeCell ref="L22:M22"/>
    <mergeCell ref="E57:I57"/>
    <mergeCell ref="L59:M59"/>
    <mergeCell ref="L6:M6"/>
    <mergeCell ref="E54:I54"/>
    <mergeCell ref="E32:I32"/>
    <mergeCell ref="L46:M46"/>
    <mergeCell ref="E41:I41"/>
    <mergeCell ref="E47:I47"/>
    <mergeCell ref="E56:I56"/>
    <mergeCell ref="L48:M48"/>
    <mergeCell ref="E43:I43"/>
    <mergeCell ref="L32:M32"/>
    <mergeCell ref="E33:I33"/>
    <mergeCell ref="E8:I8"/>
    <mergeCell ref="L47:M47"/>
    <mergeCell ref="E17:I17"/>
    <mergeCell ref="L43:M43"/>
    <mergeCell ref="E35:I35"/>
    <mergeCell ref="E10:I10"/>
    <mergeCell ref="L18:M18"/>
    <mergeCell ref="E19:I19"/>
    <mergeCell ref="L33:M33"/>
    <mergeCell ref="L8:M8"/>
    <mergeCell ref="E60:I60"/>
    <mergeCell ref="E9:I9"/>
    <mergeCell ref="L26:M26"/>
    <mergeCell ref="L35:M35"/>
    <mergeCell ref="L58:M58"/>
    <mergeCell ref="L10:M10"/>
    <mergeCell ref="L50:M50"/>
    <mergeCell ref="E11:I11"/>
    <mergeCell ref="E45:I45"/>
    <mergeCell ref="L60:M60"/>
    <mergeCell ref="L9:M9"/>
    <mergeCell ref="L11:M11"/>
    <mergeCell ref="E21:I21"/>
    <mergeCell ref="B14:M14"/>
    <mergeCell ref="E23:I23"/>
    <mergeCell ref="B1:M1"/>
    <mergeCell ref="B38:M38"/>
    <mergeCell ref="E51:I51"/>
    <mergeCell ref="L15:M15"/>
    <mergeCell ref="L23:M23"/>
    <mergeCell ref="L55:M55"/>
    <mergeCell ref="E34:I34"/>
    <mergeCell ref="L51:M51"/>
    <mergeCell ref="L54:M54"/>
    <mergeCell ref="E49:I49"/>
    <mergeCell ref="E27:I27"/>
    <mergeCell ref="L41:M41"/>
    <mergeCell ref="E36:I36"/>
    <mergeCell ref="L56:M56"/>
    <mergeCell ref="L34:M34"/>
    <mergeCell ref="B25:M25"/>
    <mergeCell ref="L49:M49"/>
    <mergeCell ref="L27:M27"/>
    <mergeCell ref="L36:M36"/>
  </mergeCells>
  <pageMargins left="0.5" right="0.5" top="0.6" bottom="0.6" header="0.5" footer="0.5"/>
  <pageSetup orientation="landscape" paperSize="9" fitToHeight="0" fitToWidth="1"/>
  <headerFooter>
    <oddHeader/>
    <oddFooter>&amp;C&amp;9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2026-09-15T11:22:04Z</dcterms:created>
  <dcterms:modified xmlns:dcterms="http://purl.org/dc/terms/" xmlns:xsi="http://www.w3.org/2001/XMLSchema-instance" xsi:type="dcterms:W3CDTF">2026-09-15T11:22:06Z</dcterms:modified>
</cp:coreProperties>
</file>